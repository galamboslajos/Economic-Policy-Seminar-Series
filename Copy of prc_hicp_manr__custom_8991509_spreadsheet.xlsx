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amboslajos/Desktop/"/>
    </mc:Choice>
  </mc:AlternateContent>
  <xr:revisionPtr revIDLastSave="0" documentId="13_ncr:1_{70A710E8-DAFF-C54E-A05C-07239FFE7515}" xr6:coauthVersionLast="47" xr6:coauthVersionMax="47" xr10:uidLastSave="{00000000-0000-0000-0000-000000000000}"/>
  <bookViews>
    <workbookView xWindow="0" yWindow="0" windowWidth="44800" windowHeight="25200" activeTab="3" xr2:uid="{00000000-000D-0000-FFFF-FFFF00000000}"/>
  </bookViews>
  <sheets>
    <sheet name="Summary" sheetId="1" r:id="rId1"/>
    <sheet name="Structure" sheetId="2" r:id="rId2"/>
    <sheet name="Sheet 1" sheetId="3" r:id="rId3"/>
    <sheet name="Sheet1" sheetId="4" r:id="rId4"/>
  </sheets>
  <definedNames>
    <definedName name="_xlnm._FilterDatabase" localSheetId="3" hidden="1">Sheet1!$M$4:$M$40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6" i="4" l="1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5" i="4"/>
  <c r="AK5" i="4"/>
  <c r="AL5" i="4"/>
  <c r="AK6" i="4"/>
  <c r="AL6" i="4"/>
  <c r="AK7" i="4"/>
  <c r="AL7" i="4"/>
  <c r="AK8" i="4"/>
  <c r="AL8" i="4"/>
  <c r="AK9" i="4"/>
  <c r="AL9" i="4"/>
  <c r="AK10" i="4"/>
  <c r="AL10" i="4"/>
  <c r="AK11" i="4"/>
  <c r="AL11" i="4"/>
  <c r="AK12" i="4"/>
  <c r="AL12" i="4"/>
  <c r="AK13" i="4"/>
  <c r="AL13" i="4"/>
  <c r="AK14" i="4"/>
  <c r="AL14" i="4"/>
  <c r="AK15" i="4"/>
  <c r="AL15" i="4"/>
  <c r="AK16" i="4"/>
  <c r="AL16" i="4"/>
  <c r="AK17" i="4"/>
  <c r="AL17" i="4"/>
  <c r="AK18" i="4"/>
  <c r="AL18" i="4"/>
  <c r="AK19" i="4"/>
  <c r="AL19" i="4"/>
  <c r="AK20" i="4"/>
  <c r="AL20" i="4"/>
  <c r="AK21" i="4"/>
  <c r="AL21" i="4"/>
  <c r="AK22" i="4"/>
  <c r="AL22" i="4"/>
  <c r="AK23" i="4"/>
  <c r="AL23" i="4"/>
  <c r="AK24" i="4"/>
  <c r="AL24" i="4"/>
  <c r="AK25" i="4"/>
  <c r="AL25" i="4"/>
  <c r="AK26" i="4"/>
  <c r="AL26" i="4"/>
  <c r="AK27" i="4"/>
  <c r="AL27" i="4"/>
  <c r="AK28" i="4"/>
  <c r="AL28" i="4"/>
  <c r="AK29" i="4"/>
  <c r="AL29" i="4"/>
  <c r="AK30" i="4"/>
  <c r="AL30" i="4"/>
  <c r="AK31" i="4"/>
  <c r="AL31" i="4"/>
  <c r="AK32" i="4"/>
  <c r="AL32" i="4"/>
  <c r="AK33" i="4"/>
  <c r="AL33" i="4"/>
  <c r="AK34" i="4"/>
  <c r="AL34" i="4"/>
  <c r="AK35" i="4"/>
  <c r="AL35" i="4"/>
  <c r="AK36" i="4"/>
  <c r="AL36" i="4"/>
  <c r="AK37" i="4"/>
  <c r="AL37" i="4"/>
  <c r="AK38" i="4"/>
  <c r="AL38" i="4"/>
  <c r="AK39" i="4"/>
  <c r="AL39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5" i="4"/>
  <c r="W3" i="4"/>
  <c r="X3" i="4"/>
  <c r="Y3" i="4"/>
  <c r="Z3" i="4"/>
  <c r="AA3" i="4"/>
  <c r="AB3" i="4"/>
  <c r="V3" i="4"/>
  <c r="W5" i="4"/>
  <c r="X5" i="4"/>
  <c r="Y5" i="4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Z5" i="4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AA5" i="4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AA36" i="4" s="1"/>
  <c r="AA37" i="4" s="1"/>
  <c r="AA38" i="4" s="1"/>
  <c r="AA39" i="4" s="1"/>
  <c r="AA40" i="4" s="1"/>
  <c r="AB5" i="4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W6" i="4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X6" i="4"/>
  <c r="X7" i="4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V6" i="4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5" i="4"/>
  <c r="G7" i="4"/>
  <c r="G5" i="4"/>
  <c r="T5" i="4"/>
  <c r="P3" i="4"/>
  <c r="Q3" i="4"/>
  <c r="R3" i="4"/>
  <c r="S3" i="4"/>
  <c r="T3" i="4"/>
  <c r="U3" i="4"/>
  <c r="O3" i="4"/>
  <c r="P5" i="4"/>
  <c r="Q5" i="4"/>
  <c r="R5" i="4"/>
  <c r="S5" i="4"/>
  <c r="U5" i="4"/>
  <c r="P6" i="4"/>
  <c r="Q6" i="4"/>
  <c r="R6" i="4"/>
  <c r="S6" i="4"/>
  <c r="T6" i="4"/>
  <c r="U6" i="4"/>
  <c r="P7" i="4"/>
  <c r="Q7" i="4"/>
  <c r="R7" i="4"/>
  <c r="S7" i="4"/>
  <c r="T7" i="4"/>
  <c r="U7" i="4"/>
  <c r="P8" i="4"/>
  <c r="Q8" i="4"/>
  <c r="R8" i="4"/>
  <c r="S8" i="4"/>
  <c r="T8" i="4"/>
  <c r="U8" i="4"/>
  <c r="P9" i="4"/>
  <c r="Q9" i="4"/>
  <c r="R9" i="4"/>
  <c r="S9" i="4"/>
  <c r="T9" i="4"/>
  <c r="U9" i="4"/>
  <c r="P10" i="4"/>
  <c r="Q10" i="4"/>
  <c r="R10" i="4"/>
  <c r="S10" i="4"/>
  <c r="T10" i="4"/>
  <c r="U10" i="4"/>
  <c r="P11" i="4"/>
  <c r="Q11" i="4"/>
  <c r="R11" i="4"/>
  <c r="S11" i="4"/>
  <c r="T11" i="4"/>
  <c r="U11" i="4"/>
  <c r="P12" i="4"/>
  <c r="Q12" i="4"/>
  <c r="R12" i="4"/>
  <c r="S12" i="4"/>
  <c r="T12" i="4"/>
  <c r="U12" i="4"/>
  <c r="P13" i="4"/>
  <c r="Q13" i="4"/>
  <c r="R13" i="4"/>
  <c r="S13" i="4"/>
  <c r="T13" i="4"/>
  <c r="U13" i="4"/>
  <c r="P14" i="4"/>
  <c r="Q14" i="4"/>
  <c r="R14" i="4"/>
  <c r="S14" i="4"/>
  <c r="T14" i="4"/>
  <c r="U14" i="4"/>
  <c r="P15" i="4"/>
  <c r="Q15" i="4"/>
  <c r="R15" i="4"/>
  <c r="S15" i="4"/>
  <c r="T15" i="4"/>
  <c r="U15" i="4"/>
  <c r="P16" i="4"/>
  <c r="Q16" i="4"/>
  <c r="R16" i="4"/>
  <c r="S16" i="4"/>
  <c r="T16" i="4"/>
  <c r="U16" i="4"/>
  <c r="P17" i="4"/>
  <c r="Q17" i="4"/>
  <c r="R17" i="4"/>
  <c r="S17" i="4"/>
  <c r="T17" i="4"/>
  <c r="U17" i="4"/>
  <c r="P18" i="4"/>
  <c r="Q18" i="4"/>
  <c r="R18" i="4"/>
  <c r="S18" i="4"/>
  <c r="T18" i="4"/>
  <c r="U18" i="4"/>
  <c r="P19" i="4"/>
  <c r="Q19" i="4"/>
  <c r="R19" i="4"/>
  <c r="S19" i="4"/>
  <c r="T19" i="4"/>
  <c r="U19" i="4"/>
  <c r="P20" i="4"/>
  <c r="Q20" i="4"/>
  <c r="R20" i="4"/>
  <c r="S20" i="4"/>
  <c r="T20" i="4"/>
  <c r="U20" i="4"/>
  <c r="P21" i="4"/>
  <c r="Q21" i="4"/>
  <c r="R21" i="4"/>
  <c r="S21" i="4"/>
  <c r="T21" i="4"/>
  <c r="U21" i="4"/>
  <c r="P22" i="4"/>
  <c r="Q22" i="4"/>
  <c r="R22" i="4"/>
  <c r="S22" i="4"/>
  <c r="T22" i="4"/>
  <c r="U22" i="4"/>
  <c r="P23" i="4"/>
  <c r="Q23" i="4"/>
  <c r="R23" i="4"/>
  <c r="S23" i="4"/>
  <c r="T23" i="4"/>
  <c r="U23" i="4"/>
  <c r="P24" i="4"/>
  <c r="Q24" i="4"/>
  <c r="R24" i="4"/>
  <c r="S24" i="4"/>
  <c r="T24" i="4"/>
  <c r="U24" i="4"/>
  <c r="P25" i="4"/>
  <c r="Q25" i="4"/>
  <c r="R25" i="4"/>
  <c r="S25" i="4"/>
  <c r="T25" i="4"/>
  <c r="U25" i="4"/>
  <c r="P26" i="4"/>
  <c r="Q26" i="4"/>
  <c r="R26" i="4"/>
  <c r="S26" i="4"/>
  <c r="T26" i="4"/>
  <c r="U26" i="4"/>
  <c r="P27" i="4"/>
  <c r="Q27" i="4"/>
  <c r="R27" i="4"/>
  <c r="S27" i="4"/>
  <c r="T27" i="4"/>
  <c r="U27" i="4"/>
  <c r="P28" i="4"/>
  <c r="Q28" i="4"/>
  <c r="R28" i="4"/>
  <c r="S28" i="4"/>
  <c r="T28" i="4"/>
  <c r="U28" i="4"/>
  <c r="P29" i="4"/>
  <c r="Q29" i="4"/>
  <c r="R29" i="4"/>
  <c r="S29" i="4"/>
  <c r="T29" i="4"/>
  <c r="U29" i="4"/>
  <c r="P30" i="4"/>
  <c r="Q30" i="4"/>
  <c r="R30" i="4"/>
  <c r="S30" i="4"/>
  <c r="T30" i="4"/>
  <c r="U30" i="4"/>
  <c r="P31" i="4"/>
  <c r="Q31" i="4"/>
  <c r="R31" i="4"/>
  <c r="S31" i="4"/>
  <c r="T31" i="4"/>
  <c r="U31" i="4"/>
  <c r="P32" i="4"/>
  <c r="Q32" i="4"/>
  <c r="R32" i="4"/>
  <c r="S32" i="4"/>
  <c r="T32" i="4"/>
  <c r="U32" i="4"/>
  <c r="P33" i="4"/>
  <c r="Q33" i="4"/>
  <c r="R33" i="4"/>
  <c r="S33" i="4"/>
  <c r="T33" i="4"/>
  <c r="U33" i="4"/>
  <c r="P34" i="4"/>
  <c r="Q34" i="4"/>
  <c r="R34" i="4"/>
  <c r="S34" i="4"/>
  <c r="T34" i="4"/>
  <c r="U34" i="4"/>
  <c r="P35" i="4"/>
  <c r="Q35" i="4"/>
  <c r="R35" i="4"/>
  <c r="S35" i="4"/>
  <c r="T35" i="4"/>
  <c r="U35" i="4"/>
  <c r="P36" i="4"/>
  <c r="Q36" i="4"/>
  <c r="R36" i="4"/>
  <c r="S36" i="4"/>
  <c r="T36" i="4"/>
  <c r="U36" i="4"/>
  <c r="P37" i="4"/>
  <c r="Q37" i="4"/>
  <c r="R37" i="4"/>
  <c r="S37" i="4"/>
  <c r="T37" i="4"/>
  <c r="U37" i="4"/>
  <c r="P38" i="4"/>
  <c r="Q38" i="4"/>
  <c r="R38" i="4"/>
  <c r="S38" i="4"/>
  <c r="T38" i="4"/>
  <c r="U38" i="4"/>
  <c r="P39" i="4"/>
  <c r="Q39" i="4"/>
  <c r="R39" i="4"/>
  <c r="S39" i="4"/>
  <c r="T39" i="4"/>
  <c r="U39" i="4"/>
  <c r="P40" i="4"/>
  <c r="Q40" i="4"/>
  <c r="R40" i="4"/>
  <c r="S40" i="4"/>
  <c r="T40" i="4"/>
  <c r="U40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5" i="4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C91" i="3"/>
  <c r="D83" i="3"/>
  <c r="E83" i="3" s="1"/>
  <c r="F83" i="3" s="1"/>
  <c r="G83" i="3" s="1"/>
  <c r="H83" i="3" s="1"/>
  <c r="I83" i="3" s="1"/>
  <c r="J83" i="3" s="1"/>
  <c r="K83" i="3" s="1"/>
  <c r="L83" i="3" s="1"/>
  <c r="M83" i="3" s="1"/>
  <c r="N83" i="3" s="1"/>
  <c r="O83" i="3" s="1"/>
  <c r="P83" i="3" s="1"/>
  <c r="Q83" i="3" s="1"/>
  <c r="R83" i="3" s="1"/>
  <c r="S83" i="3" s="1"/>
  <c r="T83" i="3" s="1"/>
  <c r="U83" i="3" s="1"/>
  <c r="V83" i="3" s="1"/>
  <c r="W83" i="3" s="1"/>
  <c r="X83" i="3" s="1"/>
  <c r="Y83" i="3" s="1"/>
  <c r="Z83" i="3" s="1"/>
  <c r="AA83" i="3" s="1"/>
  <c r="AB83" i="3" s="1"/>
  <c r="AC83" i="3" s="1"/>
  <c r="AD83" i="3" s="1"/>
  <c r="AE83" i="3" s="1"/>
  <c r="AF83" i="3" s="1"/>
  <c r="AG83" i="3" s="1"/>
  <c r="AH83" i="3" s="1"/>
  <c r="AI83" i="3" s="1"/>
  <c r="AJ83" i="3" s="1"/>
  <c r="D84" i="3"/>
  <c r="E84" i="3" s="1"/>
  <c r="F84" i="3" s="1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Q84" i="3" s="1"/>
  <c r="R84" i="3" s="1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D85" i="3"/>
  <c r="E85" i="3"/>
  <c r="F85" i="3"/>
  <c r="G85" i="3"/>
  <c r="H85" i="3"/>
  <c r="I85" i="3" s="1"/>
  <c r="J85" i="3" s="1"/>
  <c r="K85" i="3" s="1"/>
  <c r="L85" i="3" s="1"/>
  <c r="M85" i="3" s="1"/>
  <c r="N85" i="3" s="1"/>
  <c r="O85" i="3" s="1"/>
  <c r="P85" i="3" s="1"/>
  <c r="Q85" i="3" s="1"/>
  <c r="R85" i="3" s="1"/>
  <c r="S85" i="3" s="1"/>
  <c r="T85" i="3" s="1"/>
  <c r="U85" i="3" s="1"/>
  <c r="V85" i="3" s="1"/>
  <c r="W85" i="3" s="1"/>
  <c r="X85" i="3" s="1"/>
  <c r="Y85" i="3" s="1"/>
  <c r="Z85" i="3" s="1"/>
  <c r="AA85" i="3" s="1"/>
  <c r="AB85" i="3" s="1"/>
  <c r="AC85" i="3" s="1"/>
  <c r="AD85" i="3" s="1"/>
  <c r="AE85" i="3" s="1"/>
  <c r="AF85" i="3" s="1"/>
  <c r="AG85" i="3" s="1"/>
  <c r="AH85" i="3" s="1"/>
  <c r="AI85" i="3" s="1"/>
  <c r="AJ85" i="3" s="1"/>
  <c r="D86" i="3"/>
  <c r="E86" i="3"/>
  <c r="F86" i="3"/>
  <c r="G86" i="3"/>
  <c r="H86" i="3" s="1"/>
  <c r="I86" i="3" s="1"/>
  <c r="J86" i="3" s="1"/>
  <c r="K86" i="3" s="1"/>
  <c r="L86" i="3" s="1"/>
  <c r="M86" i="3" s="1"/>
  <c r="N86" i="3" s="1"/>
  <c r="O86" i="3" s="1"/>
  <c r="P86" i="3" s="1"/>
  <c r="Q86" i="3" s="1"/>
  <c r="R86" i="3" s="1"/>
  <c r="S86" i="3" s="1"/>
  <c r="T86" i="3" s="1"/>
  <c r="U86" i="3" s="1"/>
  <c r="V86" i="3" s="1"/>
  <c r="W86" i="3" s="1"/>
  <c r="X86" i="3" s="1"/>
  <c r="Y86" i="3" s="1"/>
  <c r="Z86" i="3" s="1"/>
  <c r="AA86" i="3" s="1"/>
  <c r="AB86" i="3" s="1"/>
  <c r="AC86" i="3" s="1"/>
  <c r="AD86" i="3" s="1"/>
  <c r="AE86" i="3" s="1"/>
  <c r="AF86" i="3" s="1"/>
  <c r="AG86" i="3" s="1"/>
  <c r="AH86" i="3" s="1"/>
  <c r="AI86" i="3" s="1"/>
  <c r="AJ86" i="3" s="1"/>
  <c r="D87" i="3"/>
  <c r="E87" i="3"/>
  <c r="F87" i="3"/>
  <c r="G87" i="3" s="1"/>
  <c r="H87" i="3" s="1"/>
  <c r="I87" i="3" s="1"/>
  <c r="J87" i="3" s="1"/>
  <c r="K87" i="3" s="1"/>
  <c r="L87" i="3" s="1"/>
  <c r="M87" i="3" s="1"/>
  <c r="N87" i="3" s="1"/>
  <c r="O87" i="3" s="1"/>
  <c r="P87" i="3" s="1"/>
  <c r="Q87" i="3" s="1"/>
  <c r="R87" i="3" s="1"/>
  <c r="S87" i="3" s="1"/>
  <c r="T87" i="3" s="1"/>
  <c r="U87" i="3" s="1"/>
  <c r="V87" i="3" s="1"/>
  <c r="W87" i="3" s="1"/>
  <c r="X87" i="3" s="1"/>
  <c r="Y87" i="3" s="1"/>
  <c r="Z87" i="3" s="1"/>
  <c r="AA87" i="3" s="1"/>
  <c r="AB87" i="3" s="1"/>
  <c r="AC87" i="3" s="1"/>
  <c r="AD87" i="3" s="1"/>
  <c r="AE87" i="3" s="1"/>
  <c r="AF87" i="3" s="1"/>
  <c r="AG87" i="3" s="1"/>
  <c r="AH87" i="3" s="1"/>
  <c r="AI87" i="3" s="1"/>
  <c r="AJ87" i="3" s="1"/>
  <c r="D88" i="3"/>
  <c r="E88" i="3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P88" i="3" s="1"/>
  <c r="Q88" i="3" s="1"/>
  <c r="R88" i="3" s="1"/>
  <c r="S88" i="3" s="1"/>
  <c r="T88" i="3" s="1"/>
  <c r="U88" i="3" s="1"/>
  <c r="V88" i="3" s="1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AH88" i="3" s="1"/>
  <c r="AI88" i="3" s="1"/>
  <c r="AJ88" i="3" s="1"/>
  <c r="C88" i="3"/>
  <c r="C83" i="3"/>
  <c r="C84" i="3"/>
  <c r="C85" i="3"/>
  <c r="C86" i="3"/>
  <c r="C87" i="3"/>
  <c r="D82" i="3"/>
  <c r="E82" i="3" s="1"/>
  <c r="F82" i="3" s="1"/>
  <c r="G82" i="3" s="1"/>
  <c r="H82" i="3" s="1"/>
  <c r="I82" i="3" s="1"/>
  <c r="J82" i="3" s="1"/>
  <c r="K82" i="3" s="1"/>
  <c r="L82" i="3" s="1"/>
  <c r="M82" i="3" s="1"/>
  <c r="N82" i="3" s="1"/>
  <c r="O82" i="3" s="1"/>
  <c r="P82" i="3" s="1"/>
  <c r="Q82" i="3" s="1"/>
  <c r="R82" i="3" s="1"/>
  <c r="S82" i="3" s="1"/>
  <c r="T82" i="3" s="1"/>
  <c r="U82" i="3" s="1"/>
  <c r="V82" i="3" s="1"/>
  <c r="W82" i="3" s="1"/>
  <c r="X82" i="3" s="1"/>
  <c r="Y82" i="3" s="1"/>
  <c r="Z82" i="3" s="1"/>
  <c r="AA82" i="3" s="1"/>
  <c r="AB82" i="3" s="1"/>
  <c r="AC82" i="3" s="1"/>
  <c r="AD82" i="3" s="1"/>
  <c r="AE82" i="3" s="1"/>
  <c r="AF82" i="3" s="1"/>
  <c r="AG82" i="3" s="1"/>
  <c r="AH82" i="3" s="1"/>
  <c r="AI82" i="3" s="1"/>
  <c r="AJ82" i="3" s="1"/>
  <c r="C82" i="3"/>
  <c r="B88" i="3"/>
  <c r="B83" i="3"/>
  <c r="B84" i="3"/>
  <c r="B85" i="3"/>
  <c r="B86" i="3"/>
  <c r="B87" i="3"/>
  <c r="B82" i="3"/>
  <c r="T76" i="3"/>
  <c r="C62" i="3"/>
  <c r="D62" i="3"/>
  <c r="D73" i="3" s="1"/>
  <c r="E62" i="3"/>
  <c r="F62" i="3"/>
  <c r="F71" i="3" s="1"/>
  <c r="G62" i="3"/>
  <c r="G76" i="3" s="1"/>
  <c r="H62" i="3"/>
  <c r="I62" i="3"/>
  <c r="I71" i="3" s="1"/>
  <c r="J62" i="3"/>
  <c r="K62" i="3"/>
  <c r="L62" i="3"/>
  <c r="L76" i="3" s="1"/>
  <c r="M62" i="3"/>
  <c r="N62" i="3"/>
  <c r="N71" i="3" s="1"/>
  <c r="O62" i="3"/>
  <c r="O76" i="3" s="1"/>
  <c r="P62" i="3"/>
  <c r="Q62" i="3"/>
  <c r="Q72" i="3" s="1"/>
  <c r="R62" i="3"/>
  <c r="S62" i="3"/>
  <c r="T62" i="3"/>
  <c r="U62" i="3"/>
  <c r="V62" i="3"/>
  <c r="V72" i="3" s="1"/>
  <c r="W62" i="3"/>
  <c r="W73" i="3" s="1"/>
  <c r="X62" i="3"/>
  <c r="Y62" i="3"/>
  <c r="Y75" i="3" s="1"/>
  <c r="Z62" i="3"/>
  <c r="AA62" i="3"/>
  <c r="AB62" i="3"/>
  <c r="AB76" i="3" s="1"/>
  <c r="AC62" i="3"/>
  <c r="AD62" i="3"/>
  <c r="AD72" i="3" s="1"/>
  <c r="AE62" i="3"/>
  <c r="AE72" i="3" s="1"/>
  <c r="AF62" i="3"/>
  <c r="AG62" i="3"/>
  <c r="AG71" i="3" s="1"/>
  <c r="AH62" i="3"/>
  <c r="AI62" i="3"/>
  <c r="AJ62" i="3"/>
  <c r="AJ72" i="3" s="1"/>
  <c r="C63" i="3"/>
  <c r="D63" i="3"/>
  <c r="D71" i="3" s="1"/>
  <c r="E63" i="3"/>
  <c r="E71" i="3" s="1"/>
  <c r="F63" i="3"/>
  <c r="G63" i="3"/>
  <c r="H63" i="3"/>
  <c r="I63" i="3"/>
  <c r="J63" i="3"/>
  <c r="K63" i="3"/>
  <c r="L63" i="3"/>
  <c r="M63" i="3"/>
  <c r="M71" i="3" s="1"/>
  <c r="N63" i="3"/>
  <c r="O63" i="3"/>
  <c r="P63" i="3"/>
  <c r="Q63" i="3"/>
  <c r="R63" i="3"/>
  <c r="R71" i="3" s="1"/>
  <c r="S63" i="3"/>
  <c r="T63" i="3"/>
  <c r="U63" i="3"/>
  <c r="U71" i="3" s="1"/>
  <c r="V63" i="3"/>
  <c r="W63" i="3"/>
  <c r="X63" i="3"/>
  <c r="Y63" i="3"/>
  <c r="Z63" i="3"/>
  <c r="Z71" i="3" s="1"/>
  <c r="AA63" i="3"/>
  <c r="AB63" i="3"/>
  <c r="AC63" i="3"/>
  <c r="AC71" i="3" s="1"/>
  <c r="AD63" i="3"/>
  <c r="AE63" i="3"/>
  <c r="AE71" i="3" s="1"/>
  <c r="AF63" i="3"/>
  <c r="AG63" i="3"/>
  <c r="AH63" i="3"/>
  <c r="AH71" i="3" s="1"/>
  <c r="AI63" i="3"/>
  <c r="AJ63" i="3"/>
  <c r="C64" i="3"/>
  <c r="C72" i="3" s="1"/>
  <c r="D64" i="3"/>
  <c r="E64" i="3"/>
  <c r="E72" i="3" s="1"/>
  <c r="F64" i="3"/>
  <c r="G64" i="3"/>
  <c r="H64" i="3"/>
  <c r="H72" i="3" s="1"/>
  <c r="I64" i="3"/>
  <c r="J64" i="3"/>
  <c r="J72" i="3" s="1"/>
  <c r="K64" i="3"/>
  <c r="K72" i="3" s="1"/>
  <c r="L64" i="3"/>
  <c r="M64" i="3"/>
  <c r="M72" i="3" s="1"/>
  <c r="N64" i="3"/>
  <c r="O64" i="3"/>
  <c r="P64" i="3"/>
  <c r="Q64" i="3"/>
  <c r="R64" i="3"/>
  <c r="R72" i="3" s="1"/>
  <c r="S64" i="3"/>
  <c r="S72" i="3" s="1"/>
  <c r="T64" i="3"/>
  <c r="U64" i="3"/>
  <c r="U72" i="3" s="1"/>
  <c r="V64" i="3"/>
  <c r="W64" i="3"/>
  <c r="X64" i="3"/>
  <c r="Y64" i="3"/>
  <c r="Z64" i="3"/>
  <c r="Z72" i="3" s="1"/>
  <c r="AA64" i="3"/>
  <c r="AA72" i="3" s="1"/>
  <c r="AB64" i="3"/>
  <c r="AC64" i="3"/>
  <c r="AD64" i="3"/>
  <c r="AE64" i="3"/>
  <c r="AF64" i="3"/>
  <c r="AG64" i="3"/>
  <c r="AH64" i="3"/>
  <c r="AH72" i="3" s="1"/>
  <c r="AI64" i="3"/>
  <c r="AI72" i="3" s="1"/>
  <c r="AJ64" i="3"/>
  <c r="C65" i="3"/>
  <c r="D65" i="3"/>
  <c r="E65" i="3"/>
  <c r="F65" i="3"/>
  <c r="G65" i="3"/>
  <c r="H65" i="3"/>
  <c r="H73" i="3" s="1"/>
  <c r="I65" i="3"/>
  <c r="I73" i="3" s="1"/>
  <c r="J65" i="3"/>
  <c r="K65" i="3"/>
  <c r="K73" i="3" s="1"/>
  <c r="L65" i="3"/>
  <c r="M65" i="3"/>
  <c r="N65" i="3"/>
  <c r="N73" i="3" s="1"/>
  <c r="O65" i="3"/>
  <c r="P65" i="3"/>
  <c r="Q65" i="3"/>
  <c r="Q73" i="3" s="1"/>
  <c r="R65" i="3"/>
  <c r="S65" i="3"/>
  <c r="S73" i="3" s="1"/>
  <c r="T65" i="3"/>
  <c r="U65" i="3"/>
  <c r="V65" i="3"/>
  <c r="V73" i="3" s="1"/>
  <c r="W65" i="3"/>
  <c r="X65" i="3"/>
  <c r="X73" i="3" s="1"/>
  <c r="Y65" i="3"/>
  <c r="Y73" i="3" s="1"/>
  <c r="Z65" i="3"/>
  <c r="AA65" i="3"/>
  <c r="AB65" i="3"/>
  <c r="AC65" i="3"/>
  <c r="AD65" i="3"/>
  <c r="AD73" i="3" s="1"/>
  <c r="AE65" i="3"/>
  <c r="AF65" i="3"/>
  <c r="AG65" i="3"/>
  <c r="AG73" i="3" s="1"/>
  <c r="AH65" i="3"/>
  <c r="AI65" i="3"/>
  <c r="AJ65" i="3"/>
  <c r="C66" i="3"/>
  <c r="D66" i="3"/>
  <c r="D74" i="3" s="1"/>
  <c r="E66" i="3"/>
  <c r="F66" i="3"/>
  <c r="F74" i="3" s="1"/>
  <c r="G66" i="3"/>
  <c r="G74" i="3" s="1"/>
  <c r="H66" i="3"/>
  <c r="I66" i="3"/>
  <c r="J66" i="3"/>
  <c r="K66" i="3"/>
  <c r="L66" i="3"/>
  <c r="L74" i="3" s="1"/>
  <c r="M66" i="3"/>
  <c r="N66" i="3"/>
  <c r="N74" i="3" s="1"/>
  <c r="O66" i="3"/>
  <c r="O74" i="3" s="1"/>
  <c r="P66" i="3"/>
  <c r="Q66" i="3"/>
  <c r="Q74" i="3" s="1"/>
  <c r="R66" i="3"/>
  <c r="S66" i="3"/>
  <c r="T66" i="3"/>
  <c r="T74" i="3" s="1"/>
  <c r="U66" i="3"/>
  <c r="V66" i="3"/>
  <c r="W66" i="3"/>
  <c r="X66" i="3"/>
  <c r="Y66" i="3"/>
  <c r="Y74" i="3" s="1"/>
  <c r="Z66" i="3"/>
  <c r="AA66" i="3"/>
  <c r="AB66" i="3"/>
  <c r="AB74" i="3" s="1"/>
  <c r="AC66" i="3"/>
  <c r="AD66" i="3"/>
  <c r="AE66" i="3"/>
  <c r="AE74" i="3" s="1"/>
  <c r="AF66" i="3"/>
  <c r="AG66" i="3"/>
  <c r="AG74" i="3" s="1"/>
  <c r="AH66" i="3"/>
  <c r="AI66" i="3"/>
  <c r="AJ66" i="3"/>
  <c r="C67" i="3"/>
  <c r="D67" i="3"/>
  <c r="D75" i="3" s="1"/>
  <c r="E67" i="3"/>
  <c r="E75" i="3" s="1"/>
  <c r="F67" i="3"/>
  <c r="G67" i="3"/>
  <c r="H67" i="3"/>
  <c r="I67" i="3"/>
  <c r="J67" i="3"/>
  <c r="J75" i="3" s="1"/>
  <c r="K67" i="3"/>
  <c r="L67" i="3"/>
  <c r="M67" i="3"/>
  <c r="M75" i="3" s="1"/>
  <c r="N67" i="3"/>
  <c r="O67" i="3"/>
  <c r="O75" i="3" s="1"/>
  <c r="P67" i="3"/>
  <c r="Q67" i="3"/>
  <c r="R67" i="3"/>
  <c r="S67" i="3"/>
  <c r="T67" i="3"/>
  <c r="T75" i="3" s="1"/>
  <c r="U67" i="3"/>
  <c r="U75" i="3" s="1"/>
  <c r="V67" i="3"/>
  <c r="W67" i="3"/>
  <c r="X67" i="3"/>
  <c r="Y67" i="3"/>
  <c r="Z67" i="3"/>
  <c r="Z75" i="3" s="1"/>
  <c r="AA67" i="3"/>
  <c r="AB67" i="3"/>
  <c r="AB75" i="3" s="1"/>
  <c r="AC67" i="3"/>
  <c r="AC75" i="3" s="1"/>
  <c r="AD67" i="3"/>
  <c r="AE67" i="3"/>
  <c r="AE75" i="3" s="1"/>
  <c r="AF67" i="3"/>
  <c r="AG67" i="3"/>
  <c r="AH67" i="3"/>
  <c r="AI67" i="3"/>
  <c r="AJ67" i="3"/>
  <c r="AJ75" i="3" s="1"/>
  <c r="C68" i="3"/>
  <c r="C76" i="3" s="1"/>
  <c r="D68" i="3"/>
  <c r="E68" i="3"/>
  <c r="F68" i="3"/>
  <c r="G68" i="3"/>
  <c r="H68" i="3"/>
  <c r="H76" i="3" s="1"/>
  <c r="I68" i="3"/>
  <c r="J68" i="3"/>
  <c r="K68" i="3"/>
  <c r="K76" i="3" s="1"/>
  <c r="L68" i="3"/>
  <c r="M68" i="3"/>
  <c r="M76" i="3" s="1"/>
  <c r="N68" i="3"/>
  <c r="O68" i="3"/>
  <c r="P68" i="3"/>
  <c r="Q68" i="3"/>
  <c r="R68" i="3"/>
  <c r="R76" i="3" s="1"/>
  <c r="S68" i="3"/>
  <c r="T68" i="3"/>
  <c r="U68" i="3"/>
  <c r="V68" i="3"/>
  <c r="W68" i="3"/>
  <c r="X68" i="3"/>
  <c r="X76" i="3" s="1"/>
  <c r="Y68" i="3"/>
  <c r="Z68" i="3"/>
  <c r="AA68" i="3"/>
  <c r="AA76" i="3" s="1"/>
  <c r="AB68" i="3"/>
  <c r="AC68" i="3"/>
  <c r="AC76" i="3" s="1"/>
  <c r="AD68" i="3"/>
  <c r="AE68" i="3"/>
  <c r="AF68" i="3"/>
  <c r="AG68" i="3"/>
  <c r="AH68" i="3"/>
  <c r="AH76" i="3" s="1"/>
  <c r="AI68" i="3"/>
  <c r="AI76" i="3" s="1"/>
  <c r="AJ68" i="3"/>
  <c r="C69" i="3"/>
  <c r="D69" i="3"/>
  <c r="E69" i="3"/>
  <c r="F69" i="3"/>
  <c r="F77" i="3" s="1"/>
  <c r="G69" i="3"/>
  <c r="H69" i="3"/>
  <c r="I69" i="3"/>
  <c r="I77" i="3" s="1"/>
  <c r="J69" i="3"/>
  <c r="K69" i="3"/>
  <c r="L69" i="3"/>
  <c r="M69" i="3"/>
  <c r="N69" i="3"/>
  <c r="O69" i="3"/>
  <c r="P69" i="3"/>
  <c r="Q69" i="3"/>
  <c r="Q77" i="3" s="1"/>
  <c r="R69" i="3"/>
  <c r="S69" i="3"/>
  <c r="T69" i="3"/>
  <c r="U69" i="3"/>
  <c r="V69" i="3"/>
  <c r="W69" i="3"/>
  <c r="X69" i="3"/>
  <c r="Y69" i="3"/>
  <c r="Y77" i="3" s="1"/>
  <c r="Z69" i="3"/>
  <c r="AA69" i="3"/>
  <c r="AA77" i="3" s="1"/>
  <c r="AB69" i="3"/>
  <c r="AC69" i="3"/>
  <c r="AD69" i="3"/>
  <c r="AE69" i="3"/>
  <c r="AF69" i="3"/>
  <c r="AG69" i="3"/>
  <c r="AG77" i="3" s="1"/>
  <c r="AH69" i="3"/>
  <c r="AI69" i="3"/>
  <c r="AI77" i="3" s="1"/>
  <c r="AJ69" i="3"/>
  <c r="B63" i="3"/>
  <c r="B64" i="3"/>
  <c r="B65" i="3"/>
  <c r="B66" i="3"/>
  <c r="B67" i="3"/>
  <c r="B68" i="3"/>
  <c r="B69" i="3"/>
  <c r="B62" i="3"/>
  <c r="C71" i="3"/>
  <c r="I72" i="3"/>
  <c r="K71" i="3"/>
  <c r="P73" i="3"/>
  <c r="S71" i="3"/>
  <c r="Y72" i="3"/>
  <c r="AA71" i="3"/>
  <c r="AF73" i="3"/>
  <c r="AI71" i="3"/>
  <c r="Q71" i="3"/>
  <c r="Y71" i="3"/>
  <c r="O72" i="3"/>
  <c r="E73" i="3"/>
  <c r="M73" i="3"/>
  <c r="R73" i="3"/>
  <c r="U73" i="3"/>
  <c r="Z73" i="3"/>
  <c r="AC73" i="3"/>
  <c r="AH73" i="3"/>
  <c r="C74" i="3"/>
  <c r="H74" i="3"/>
  <c r="K74" i="3"/>
  <c r="P74" i="3"/>
  <c r="P81" i="3" s="1"/>
  <c r="S74" i="3"/>
  <c r="W74" i="3"/>
  <c r="X74" i="3"/>
  <c r="AA74" i="3"/>
  <c r="AF74" i="3"/>
  <c r="AI74" i="3"/>
  <c r="F75" i="3"/>
  <c r="I75" i="3"/>
  <c r="N75" i="3"/>
  <c r="V75" i="3"/>
  <c r="AD75" i="3"/>
  <c r="S76" i="3"/>
  <c r="AJ76" i="3"/>
  <c r="E77" i="3"/>
  <c r="J77" i="3"/>
  <c r="M77" i="3"/>
  <c r="R77" i="3"/>
  <c r="U77" i="3"/>
  <c r="Z77" i="3"/>
  <c r="AC77" i="3"/>
  <c r="AH77" i="3"/>
  <c r="B72" i="3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5" i="4"/>
  <c r="H71" i="3"/>
  <c r="J71" i="3"/>
  <c r="L71" i="3"/>
  <c r="P71" i="3"/>
  <c r="T71" i="3"/>
  <c r="X71" i="3"/>
  <c r="AB71" i="3"/>
  <c r="AF71" i="3"/>
  <c r="AJ71" i="3"/>
  <c r="D72" i="3"/>
  <c r="F72" i="3"/>
  <c r="L72" i="3"/>
  <c r="N72" i="3"/>
  <c r="P72" i="3"/>
  <c r="T72" i="3"/>
  <c r="X72" i="3"/>
  <c r="AB72" i="3"/>
  <c r="AC72" i="3"/>
  <c r="AF72" i="3"/>
  <c r="C73" i="3"/>
  <c r="F73" i="3"/>
  <c r="J73" i="3"/>
  <c r="L73" i="3"/>
  <c r="T73" i="3"/>
  <c r="AA73" i="3"/>
  <c r="AB73" i="3"/>
  <c r="AI73" i="3"/>
  <c r="E74" i="3"/>
  <c r="I74" i="3"/>
  <c r="J74" i="3"/>
  <c r="M74" i="3"/>
  <c r="R74" i="3"/>
  <c r="U74" i="3"/>
  <c r="V74" i="3"/>
  <c r="Z74" i="3"/>
  <c r="AC74" i="3"/>
  <c r="AD74" i="3"/>
  <c r="AH74" i="3"/>
  <c r="AJ74" i="3"/>
  <c r="H75" i="3"/>
  <c r="L75" i="3"/>
  <c r="P75" i="3"/>
  <c r="R75" i="3"/>
  <c r="W75" i="3"/>
  <c r="X75" i="3"/>
  <c r="AF75" i="3"/>
  <c r="AH75" i="3"/>
  <c r="E76" i="3"/>
  <c r="J76" i="3"/>
  <c r="N76" i="3"/>
  <c r="P76" i="3"/>
  <c r="U76" i="3"/>
  <c r="Z76" i="3"/>
  <c r="AD76" i="3"/>
  <c r="AF76" i="3"/>
  <c r="C77" i="3"/>
  <c r="K77" i="3"/>
  <c r="N77" i="3"/>
  <c r="S77" i="3"/>
  <c r="V77" i="3"/>
  <c r="AD77" i="3"/>
  <c r="AJ77" i="3"/>
  <c r="B53" i="3"/>
  <c r="B54" i="3"/>
  <c r="B55" i="3"/>
  <c r="B56" i="3"/>
  <c r="B57" i="3"/>
  <c r="B58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C51" i="3"/>
  <c r="B51" i="3"/>
  <c r="E36" i="3"/>
  <c r="F36" i="3"/>
  <c r="G36" i="3"/>
  <c r="M36" i="3"/>
  <c r="N36" i="3"/>
  <c r="O36" i="3"/>
  <c r="U36" i="3"/>
  <c r="V36" i="3"/>
  <c r="W36" i="3"/>
  <c r="AC36" i="3"/>
  <c r="AD36" i="3"/>
  <c r="AE36" i="3"/>
  <c r="B26" i="3"/>
  <c r="B27" i="3"/>
  <c r="B28" i="3"/>
  <c r="B29" i="3"/>
  <c r="B30" i="3"/>
  <c r="B31" i="3"/>
  <c r="B32" i="3"/>
  <c r="B25" i="3"/>
  <c r="B36" i="3" s="1"/>
  <c r="C25" i="3"/>
  <c r="D25" i="3"/>
  <c r="D36" i="3" s="1"/>
  <c r="E25" i="3"/>
  <c r="F25" i="3"/>
  <c r="G25" i="3"/>
  <c r="H25" i="3"/>
  <c r="I25" i="3"/>
  <c r="J25" i="3"/>
  <c r="K25" i="3"/>
  <c r="L25" i="3"/>
  <c r="L36" i="3" s="1"/>
  <c r="M25" i="3"/>
  <c r="N25" i="3"/>
  <c r="O25" i="3"/>
  <c r="P25" i="3"/>
  <c r="Q25" i="3"/>
  <c r="R25" i="3"/>
  <c r="S25" i="3"/>
  <c r="T25" i="3"/>
  <c r="T36" i="3" s="1"/>
  <c r="U25" i="3"/>
  <c r="V25" i="3"/>
  <c r="W25" i="3"/>
  <c r="X25" i="3"/>
  <c r="Y25" i="3"/>
  <c r="Z25" i="3"/>
  <c r="AA25" i="3"/>
  <c r="AB25" i="3"/>
  <c r="AB36" i="3" s="1"/>
  <c r="AC25" i="3"/>
  <c r="AD25" i="3"/>
  <c r="AE25" i="3"/>
  <c r="AF25" i="3"/>
  <c r="AG25" i="3"/>
  <c r="AH25" i="3"/>
  <c r="AI25" i="3"/>
  <c r="AJ25" i="3"/>
  <c r="AJ36" i="3" s="1"/>
  <c r="AK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C29" i="3"/>
  <c r="C36" i="3" s="1"/>
  <c r="D29" i="3"/>
  <c r="E29" i="3"/>
  <c r="F29" i="3"/>
  <c r="G29" i="3"/>
  <c r="H29" i="3"/>
  <c r="H36" i="3" s="1"/>
  <c r="I29" i="3"/>
  <c r="I36" i="3" s="1"/>
  <c r="J29" i="3"/>
  <c r="J36" i="3" s="1"/>
  <c r="K29" i="3"/>
  <c r="K36" i="3" s="1"/>
  <c r="L29" i="3"/>
  <c r="M29" i="3"/>
  <c r="N29" i="3"/>
  <c r="O29" i="3"/>
  <c r="P29" i="3"/>
  <c r="P36" i="3" s="1"/>
  <c r="Q29" i="3"/>
  <c r="Q36" i="3" s="1"/>
  <c r="R29" i="3"/>
  <c r="R36" i="3" s="1"/>
  <c r="S29" i="3"/>
  <c r="S36" i="3" s="1"/>
  <c r="T29" i="3"/>
  <c r="U29" i="3"/>
  <c r="V29" i="3"/>
  <c r="W29" i="3"/>
  <c r="X29" i="3"/>
  <c r="X36" i="3" s="1"/>
  <c r="Y29" i="3"/>
  <c r="Y36" i="3" s="1"/>
  <c r="Z29" i="3"/>
  <c r="Z36" i="3" s="1"/>
  <c r="AA29" i="3"/>
  <c r="AA36" i="3" s="1"/>
  <c r="AB29" i="3"/>
  <c r="AC29" i="3"/>
  <c r="AD29" i="3"/>
  <c r="AE29" i="3"/>
  <c r="AF29" i="3"/>
  <c r="AF36" i="3" s="1"/>
  <c r="AG29" i="3"/>
  <c r="AG36" i="3" s="1"/>
  <c r="AH29" i="3"/>
  <c r="AH36" i="3" s="1"/>
  <c r="AI29" i="3"/>
  <c r="AI36" i="3" s="1"/>
  <c r="AJ29" i="3"/>
  <c r="AK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G6" i="4" l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AE76" i="3"/>
  <c r="G73" i="3"/>
  <c r="D77" i="3"/>
  <c r="V76" i="3"/>
  <c r="F76" i="3"/>
  <c r="AJ73" i="3"/>
  <c r="AD71" i="3"/>
  <c r="D76" i="3"/>
  <c r="Q75" i="3"/>
  <c r="AG72" i="3"/>
  <c r="G75" i="3"/>
  <c r="O71" i="3"/>
  <c r="W76" i="3"/>
  <c r="W72" i="3"/>
  <c r="T77" i="3"/>
  <c r="AG75" i="3"/>
  <c r="AE73" i="3"/>
  <c r="O73" i="3"/>
  <c r="W71" i="3"/>
  <c r="L77" i="3"/>
  <c r="V71" i="3"/>
  <c r="G72" i="3"/>
  <c r="G71" i="3"/>
  <c r="AB77" i="3"/>
  <c r="AF77" i="3"/>
  <c r="X77" i="3"/>
  <c r="P77" i="3"/>
  <c r="H77" i="3"/>
  <c r="AE77" i="3"/>
  <c r="W77" i="3"/>
  <c r="O77" i="3"/>
  <c r="G77" i="3"/>
  <c r="AG76" i="3"/>
  <c r="Y76" i="3"/>
  <c r="Q76" i="3"/>
  <c r="I76" i="3"/>
  <c r="AI75" i="3"/>
  <c r="AA75" i="3"/>
  <c r="S75" i="3"/>
  <c r="K75" i="3"/>
  <c r="C75" i="3"/>
  <c r="B77" i="3"/>
  <c r="B71" i="3"/>
  <c r="B76" i="3"/>
  <c r="B75" i="3"/>
  <c r="B74" i="3"/>
  <c r="B73" i="3"/>
  <c r="B80" i="3"/>
  <c r="C80" i="3" s="1"/>
  <c r="D80" i="3" s="1"/>
  <c r="E80" i="3" s="1"/>
  <c r="F80" i="3" s="1"/>
  <c r="G80" i="3" s="1"/>
  <c r="H80" i="3" s="1"/>
  <c r="I80" i="3" s="1"/>
  <c r="J80" i="3" s="1"/>
  <c r="K80" i="3" s="1"/>
  <c r="L80" i="3" s="1"/>
  <c r="M80" i="3" s="1"/>
  <c r="N80" i="3" s="1"/>
  <c r="O80" i="3" s="1"/>
  <c r="P80" i="3" s="1"/>
  <c r="Q80" i="3" s="1"/>
  <c r="R80" i="3" s="1"/>
  <c r="S80" i="3" s="1"/>
  <c r="T80" i="3" s="1"/>
  <c r="U80" i="3" s="1"/>
  <c r="V80" i="3" s="1"/>
  <c r="W80" i="3" s="1"/>
  <c r="X80" i="3" s="1"/>
  <c r="Y80" i="3" s="1"/>
  <c r="Z80" i="3" s="1"/>
  <c r="AA80" i="3" s="1"/>
  <c r="AB80" i="3" s="1"/>
  <c r="AC80" i="3" s="1"/>
  <c r="AD80" i="3" s="1"/>
  <c r="AE80" i="3" s="1"/>
  <c r="AF80" i="3" s="1"/>
  <c r="AG80" i="3" s="1"/>
  <c r="AH80" i="3" s="1"/>
  <c r="AI80" i="3" s="1"/>
  <c r="AJ80" i="3" s="1"/>
  <c r="Q81" i="3"/>
  <c r="R81" i="3" s="1"/>
  <c r="S81" i="3" s="1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E81" i="3" s="1"/>
  <c r="AF81" i="3" s="1"/>
  <c r="AG81" i="3" s="1"/>
  <c r="AH81" i="3" s="1"/>
  <c r="AI81" i="3" s="1"/>
  <c r="AJ81" i="3" s="1"/>
</calcChain>
</file>

<file path=xl/sharedStrings.xml><?xml version="1.0" encoding="utf-8"?>
<sst xmlns="http://schemas.openxmlformats.org/spreadsheetml/2006/main" count="296" uniqueCount="103">
  <si>
    <t>HICP - monthly data (annual rate of change) [prc_hicp_manr__custom_8991509]</t>
  </si>
  <si>
    <t>Open product page</t>
  </si>
  <si>
    <t>Open in Data Browser</t>
  </si>
  <si>
    <t xml:space="preserve">Description: </t>
  </si>
  <si>
    <t>-</t>
  </si>
  <si>
    <t xml:space="preserve">Last update of data: </t>
  </si>
  <si>
    <t>30/11/2023 11:00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</si>
  <si>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</si>
  <si>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</si>
  <si>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</si>
  <si>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</si>
  <si>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</si>
  <si>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</si>
  <si>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</si>
  <si>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</si>
  <si>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Monthly</t>
  </si>
  <si>
    <t>Annual rate of change</t>
  </si>
  <si>
    <t>All-items HICP</t>
  </si>
  <si>
    <t>Structure</t>
  </si>
  <si>
    <t>Dimension</t>
  </si>
  <si>
    <t>Position</t>
  </si>
  <si>
    <t>Label</t>
  </si>
  <si>
    <t>Geopolitical entity (reporting)</t>
  </si>
  <si>
    <t>Euro area – 20 countries (from 2023)</t>
  </si>
  <si>
    <t>Bulgaria</t>
  </si>
  <si>
    <t>Czechia</t>
  </si>
  <si>
    <t>Denmark</t>
  </si>
  <si>
    <t>Hungary</t>
  </si>
  <si>
    <t>Poland</t>
  </si>
  <si>
    <t>Romania</t>
  </si>
  <si>
    <t>Sweden</t>
  </si>
  <si>
    <t>Time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</si>
  <si>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</si>
  <si>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</si>
  <si>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</si>
  <si>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</si>
  <si>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</si>
  <si>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</si>
  <si>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</si>
  <si>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</si>
  <si>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</si>
  <si>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</si>
  <si>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</si>
  <si>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</si>
  <si>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</si>
  <si>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</si>
  <si>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</si>
  <si>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</si>
  <si>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</si>
  <si>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</si>
  <si>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</si>
  <si>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</si>
  <si>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</si>
  <si>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</si>
  <si>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</si>
  <si>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</si>
  <si>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</si>
  <si>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</si>
  <si>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</si>
  <si>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</si>
  <si>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</si>
  <si>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</si>
  <si>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</si>
  <si>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</si>
  <si>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</si>
  <si>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</si>
  <si>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</si>
  <si>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</si>
  <si>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Data extracted on 13/12/2023 18:36:35 from [ESTAT]</t>
  </si>
  <si>
    <t xml:space="preserve">Dataset: </t>
  </si>
  <si>
    <t xml:space="preserve">Last updated: </t>
  </si>
  <si>
    <t>TIME</t>
  </si>
  <si>
    <t>GEO (Labels)</t>
  </si>
  <si>
    <t/>
  </si>
  <si>
    <t>:</t>
  </si>
  <si>
    <t>Special value</t>
  </si>
  <si>
    <t>not available</t>
  </si>
  <si>
    <t>Hungary-Eurozone</t>
  </si>
  <si>
    <t>Euro area (EA11-1999, EA12-2001, EA13-2007, EA15-2008, EA16-2009, EA17-2011, EA18-2014, EA19-2015, EA20-2023)</t>
  </si>
  <si>
    <t>Nominal interest rates</t>
  </si>
  <si>
    <t>Real rates</t>
  </si>
  <si>
    <t>Nominal interest rate /100</t>
  </si>
  <si>
    <t>EUR/LEV</t>
  </si>
  <si>
    <t>EUR/KORONA</t>
  </si>
  <si>
    <t>EUR/DANISH</t>
  </si>
  <si>
    <t>EUR/HUF</t>
  </si>
  <si>
    <t>EUR/ZLT</t>
  </si>
  <si>
    <t>EUR/LEU</t>
  </si>
  <si>
    <t>EUR/SWK</t>
  </si>
  <si>
    <t>RON</t>
  </si>
  <si>
    <t>HUF</t>
  </si>
  <si>
    <t>BGN</t>
  </si>
  <si>
    <t>CZK</t>
  </si>
  <si>
    <t>PLN</t>
  </si>
  <si>
    <t>DKK</t>
  </si>
  <si>
    <t>SEK</t>
  </si>
  <si>
    <t>Loss function</t>
  </si>
  <si>
    <t>EUR/BGN</t>
  </si>
  <si>
    <t>EUR/CZK</t>
  </si>
  <si>
    <t>EUR/DKK</t>
  </si>
  <si>
    <t>EUR/PLN</t>
  </si>
  <si>
    <t>EUR/RON</t>
  </si>
  <si>
    <t>EUR/SEK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</si>
</sst>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#######"/>
    <numFmt numFmtId="165" formatCode="#,##0.0"/>
    <numFmt numFmtId="166" formatCode="0.0000"/>
  </numFmts>
  <fonts count="11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1"/>
      <color indexed="8"/>
      <name val="Calibri"/>
      <family val="2"/>
      <scheme val="minor"/>
    </font>
    <font>
      <b/>
      <sz val="10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10" fontId="0" fillId="0" borderId="0" xfId="1" applyNumberFormat="1" applyFont="1"/>
    <xf numFmtId="166" fontId="0" fillId="0" borderId="0" xfId="1" applyNumberFormat="1" applyFont="1"/>
    <xf numFmtId="10" fontId="0" fillId="0" borderId="0" xfId="0" applyNumberFormat="1"/>
    <xf numFmtId="0" fontId="2" fillId="0" borderId="0" xfId="0" applyFont="1" applyAlignment="1">
      <alignment horizontal="left" vertical="top" wrapText="1"/>
    </xf>
    <xf numFmtId="0" fontId="0" fillId="0" borderId="0" xfId="0"/>
    <xf numFmtId="0" fontId="1" fillId="4" borderId="0" xfId="0" applyFont="1" applyFill="1" applyBorder="1" applyAlignment="1">
      <alignment horizontal="left" vertical="center"/>
    </xf>
    <xf numFmtId="0" fontId="7" fillId="0" borderId="0" xfId="0" applyFont="1"/>
    <xf numFmtId="4" fontId="0" fillId="0" borderId="0" xfId="0" applyNumberFormat="1"/>
    <xf numFmtId="0" fontId="1" fillId="4" borderId="1" xfId="0" applyFont="1" applyFill="1" applyBorder="1" applyAlignment="1">
      <alignment horizontal="left" vertical="center" wrapText="1"/>
    </xf>
    <xf numFmtId="0" fontId="8" fillId="0" borderId="0" xfId="0" applyFont="1"/>
    <xf numFmtId="14" fontId="8" fillId="0" borderId="0" xfId="0" applyNumberFormat="1" applyFont="1"/>
    <xf numFmtId="166" fontId="0" fillId="0" borderId="0" xfId="0" applyNumberFormat="1"/>
    <xf numFmtId="0" fontId="9" fillId="0" borderId="0" xfId="0" applyFont="1"/>
    <xf numFmtId="0" fontId="9" fillId="7" borderId="0" xfId="0" applyFont="1" applyFill="1"/>
    <xf numFmtId="0" fontId="0" fillId="7" borderId="0" xfId="0" applyFill="1"/>
    <xf numFmtId="0" fontId="10" fillId="0" borderId="0" xfId="0" applyFont="1"/>
    <xf numFmtId="14" fontId="10" fillId="0" borderId="0" xfId="0" applyNumberFormat="1" applyFont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0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0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4" borderId="5" xfId="0" applyFont="1" applyFill="1" applyBorder="1" applyAlignment="1">
      <alignment horizontal="left" vertical="center"/>
    </xf>
    <xf numFmtId="0" fontId="0" fillId="0" borderId="0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HICP - monthly data (annual rate of change)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>
        <c:manualLayout>
          <c:layoutTarget val="inner"/>
          <c:xMode val="edge"/>
          <c:yMode val="edge"/>
          <c:x val="7.106445308794232E-2"/>
          <c:y val="3.7808358817533132E-2"/>
          <c:w val="0.92123654302248359"/>
          <c:h val="0.86832807596298167"/>
        </c:manualLayout>
      </c:layout>
      <c:lineChart>
        <c:grouping val="standard"/>
        <c:varyColors val="0"/>
        <c:ser>
          <c:idx val="0"/>
          <c:order val="0"/>
          <c:tx>
            <c:v>Eurozone</c:v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1'!$B$25:$AJ$25</c:f>
              <c:numCache>
                <c:formatCode>0.0000</c:formatCode>
                <c:ptCount val="35"/>
                <c:pt idx="0">
                  <c:v>-3.0000000000000001E-3</c:v>
                </c:pt>
                <c:pt idx="1">
                  <c:v>9.0000000000000011E-3</c:v>
                </c:pt>
                <c:pt idx="2">
                  <c:v>9.0000000000000011E-3</c:v>
                </c:pt>
                <c:pt idx="3">
                  <c:v>1.3000000000000001E-2</c:v>
                </c:pt>
                <c:pt idx="4">
                  <c:v>1.6E-2</c:v>
                </c:pt>
                <c:pt idx="5">
                  <c:v>0.02</c:v>
                </c:pt>
                <c:pt idx="6">
                  <c:v>1.9E-2</c:v>
                </c:pt>
                <c:pt idx="7">
                  <c:v>2.2000000000000002E-2</c:v>
                </c:pt>
                <c:pt idx="8">
                  <c:v>0.03</c:v>
                </c:pt>
                <c:pt idx="9">
                  <c:v>3.4000000000000002E-2</c:v>
                </c:pt>
                <c:pt idx="10">
                  <c:v>4.0999999999999995E-2</c:v>
                </c:pt>
                <c:pt idx="11">
                  <c:v>4.9000000000000002E-2</c:v>
                </c:pt>
                <c:pt idx="12">
                  <c:v>0.05</c:v>
                </c:pt>
                <c:pt idx="13">
                  <c:v>5.0999999999999997E-2</c:v>
                </c:pt>
                <c:pt idx="14">
                  <c:v>5.9000000000000004E-2</c:v>
                </c:pt>
                <c:pt idx="15">
                  <c:v>7.400000000000001E-2</c:v>
                </c:pt>
                <c:pt idx="16">
                  <c:v>7.4999999999999997E-2</c:v>
                </c:pt>
                <c:pt idx="17">
                  <c:v>8.1000000000000003E-2</c:v>
                </c:pt>
                <c:pt idx="18">
                  <c:v>8.6999999999999994E-2</c:v>
                </c:pt>
                <c:pt idx="19">
                  <c:v>8.900000000000001E-2</c:v>
                </c:pt>
                <c:pt idx="20" formatCode="0.00%">
                  <c:v>9.1999999999999998E-2</c:v>
                </c:pt>
                <c:pt idx="21" formatCode="0.00%">
                  <c:v>9.9000000000000005E-2</c:v>
                </c:pt>
                <c:pt idx="22" formatCode="0.00%">
                  <c:v>0.106</c:v>
                </c:pt>
                <c:pt idx="23" formatCode="0.00%">
                  <c:v>0.10099999999999999</c:v>
                </c:pt>
                <c:pt idx="24" formatCode="0.00%">
                  <c:v>9.1999999999999998E-2</c:v>
                </c:pt>
                <c:pt idx="25" formatCode="0.00%">
                  <c:v>8.6999999999999994E-2</c:v>
                </c:pt>
                <c:pt idx="26" formatCode="0.00%">
                  <c:v>8.5000000000000006E-2</c:v>
                </c:pt>
                <c:pt idx="27" formatCode="0.00%">
                  <c:v>6.9000000000000006E-2</c:v>
                </c:pt>
                <c:pt idx="28" formatCode="0.00%">
                  <c:v>7.0000000000000007E-2</c:v>
                </c:pt>
                <c:pt idx="29" formatCode="0.00%">
                  <c:v>6.0999999999999999E-2</c:v>
                </c:pt>
                <c:pt idx="30" formatCode="0.00%">
                  <c:v>5.5E-2</c:v>
                </c:pt>
                <c:pt idx="31" formatCode="0.00%">
                  <c:v>5.2999999999999999E-2</c:v>
                </c:pt>
                <c:pt idx="32" formatCode="0.00%">
                  <c:v>5.2000000000000005E-2</c:v>
                </c:pt>
                <c:pt idx="33" formatCode="0.00%">
                  <c:v>4.2999999999999997E-2</c:v>
                </c:pt>
                <c:pt idx="34" formatCode="0.00%">
                  <c:v>2.8999999999999998E-2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F-1247-80D0-959EAB122608}"/>
            </c:ext>
          </c:extLst>
        </c:ser>
        <c:ser>
          <c:idx val="1"/>
          <c:order val="1"/>
          <c:tx>
            <c:v>Bulgaria</c:v>
          </c:tx>
          <c:spPr>
            <a:ln w="444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1'!$B$26:$AJ$26</c:f>
              <c:numCache>
                <c:formatCode>0.0000</c:formatCode>
                <c:ptCount val="35"/>
                <c:pt idx="0">
                  <c:v>0</c:v>
                </c:pt>
                <c:pt idx="1">
                  <c:v>-3.0000000000000001E-3</c:v>
                </c:pt>
                <c:pt idx="2">
                  <c:v>2E-3</c:v>
                </c:pt>
                <c:pt idx="3">
                  <c:v>8.0000000000000002E-3</c:v>
                </c:pt>
                <c:pt idx="4">
                  <c:v>0.02</c:v>
                </c:pt>
                <c:pt idx="5">
                  <c:v>2.3E-2</c:v>
                </c:pt>
                <c:pt idx="6">
                  <c:v>2.4E-2</c:v>
                </c:pt>
                <c:pt idx="7">
                  <c:v>2.2000000000000002E-2</c:v>
                </c:pt>
                <c:pt idx="8">
                  <c:v>2.5000000000000001E-2</c:v>
                </c:pt>
                <c:pt idx="9">
                  <c:v>0.04</c:v>
                </c:pt>
                <c:pt idx="10">
                  <c:v>5.2000000000000005E-2</c:v>
                </c:pt>
                <c:pt idx="11">
                  <c:v>6.3E-2</c:v>
                </c:pt>
                <c:pt idx="12">
                  <c:v>6.6000000000000003E-2</c:v>
                </c:pt>
                <c:pt idx="13">
                  <c:v>7.6999999999999999E-2</c:v>
                </c:pt>
                <c:pt idx="14">
                  <c:v>8.4000000000000005E-2</c:v>
                </c:pt>
                <c:pt idx="15">
                  <c:v>0.105</c:v>
                </c:pt>
                <c:pt idx="16">
                  <c:v>0.121</c:v>
                </c:pt>
                <c:pt idx="17">
                  <c:v>0.13400000000000001</c:v>
                </c:pt>
                <c:pt idx="18">
                  <c:v>0.14800000000000002</c:v>
                </c:pt>
                <c:pt idx="19">
                  <c:v>0.14899999999999999</c:v>
                </c:pt>
                <c:pt idx="20" formatCode="0.00%">
                  <c:v>0.15</c:v>
                </c:pt>
                <c:pt idx="21" formatCode="0.00%">
                  <c:v>0.156</c:v>
                </c:pt>
                <c:pt idx="22" formatCode="0.00%">
                  <c:v>0.14800000000000002</c:v>
                </c:pt>
                <c:pt idx="23" formatCode="0.00%">
                  <c:v>0.14300000000000002</c:v>
                </c:pt>
                <c:pt idx="24" formatCode="0.00%">
                  <c:v>0.14300000000000002</c:v>
                </c:pt>
                <c:pt idx="25" formatCode="0.00%">
                  <c:v>0.14300000000000002</c:v>
                </c:pt>
                <c:pt idx="26" formatCode="0.00%">
                  <c:v>0.13699999999999998</c:v>
                </c:pt>
                <c:pt idx="27" formatCode="0.00%">
                  <c:v>0.121</c:v>
                </c:pt>
                <c:pt idx="28" formatCode="0.00%">
                  <c:v>0.10300000000000001</c:v>
                </c:pt>
                <c:pt idx="29" formatCode="0.00%">
                  <c:v>8.5999999999999993E-2</c:v>
                </c:pt>
                <c:pt idx="30" formatCode="0.00%">
                  <c:v>7.4999999999999997E-2</c:v>
                </c:pt>
                <c:pt idx="31" formatCode="0.00%">
                  <c:v>7.8E-2</c:v>
                </c:pt>
                <c:pt idx="32" formatCode="0.00%">
                  <c:v>7.4999999999999997E-2</c:v>
                </c:pt>
                <c:pt idx="33" formatCode="0.00%">
                  <c:v>6.4000000000000001E-2</c:v>
                </c:pt>
                <c:pt idx="34" formatCode="0.00%">
                  <c:v>5.9000000000000004E-2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F-1247-80D0-959EAB122608}"/>
            </c:ext>
          </c:extLst>
        </c:ser>
        <c:ser>
          <c:idx val="2"/>
          <c:order val="2"/>
          <c:tx>
            <c:v>Czechia</c:v>
          </c:tx>
          <c:spPr>
            <a:ln w="444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1'!$B$27:$AJ$27</c:f>
              <c:numCache>
                <c:formatCode>0.0000</c:formatCode>
                <c:ptCount val="35"/>
                <c:pt idx="0">
                  <c:v>2.4E-2</c:v>
                </c:pt>
                <c:pt idx="1">
                  <c:v>2.2000000000000002E-2</c:v>
                </c:pt>
                <c:pt idx="2">
                  <c:v>2.1000000000000001E-2</c:v>
                </c:pt>
                <c:pt idx="3">
                  <c:v>2.3E-2</c:v>
                </c:pt>
                <c:pt idx="4">
                  <c:v>3.1E-2</c:v>
                </c:pt>
                <c:pt idx="5">
                  <c:v>2.7000000000000003E-2</c:v>
                </c:pt>
                <c:pt idx="6">
                  <c:v>2.5000000000000001E-2</c:v>
                </c:pt>
                <c:pt idx="7">
                  <c:v>2.7000000000000003E-2</c:v>
                </c:pt>
                <c:pt idx="8">
                  <c:v>3.1E-2</c:v>
                </c:pt>
                <c:pt idx="9">
                  <c:v>0.04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5.4000000000000006E-2</c:v>
                </c:pt>
                <c:pt idx="13">
                  <c:v>8.8000000000000009E-2</c:v>
                </c:pt>
                <c:pt idx="14">
                  <c:v>0.1</c:v>
                </c:pt>
                <c:pt idx="15">
                  <c:v>0.11900000000000001</c:v>
                </c:pt>
                <c:pt idx="16">
                  <c:v>0.13200000000000001</c:v>
                </c:pt>
                <c:pt idx="17">
                  <c:v>0.152</c:v>
                </c:pt>
                <c:pt idx="18">
                  <c:v>0.16600000000000001</c:v>
                </c:pt>
                <c:pt idx="19">
                  <c:v>0.17300000000000001</c:v>
                </c:pt>
                <c:pt idx="20" formatCode="0.00%">
                  <c:v>0.17100000000000001</c:v>
                </c:pt>
                <c:pt idx="21" formatCode="0.00%">
                  <c:v>0.17800000000000002</c:v>
                </c:pt>
                <c:pt idx="22" formatCode="0.00%">
                  <c:v>0.155</c:v>
                </c:pt>
                <c:pt idx="23" formatCode="0.00%">
                  <c:v>0.17199999999999999</c:v>
                </c:pt>
                <c:pt idx="24" formatCode="0.00%">
                  <c:v>0.16800000000000001</c:v>
                </c:pt>
                <c:pt idx="25" formatCode="0.00%">
                  <c:v>0.191</c:v>
                </c:pt>
                <c:pt idx="26" formatCode="0.00%">
                  <c:v>0.184</c:v>
                </c:pt>
                <c:pt idx="27" formatCode="0.00%">
                  <c:v>0.16500000000000001</c:v>
                </c:pt>
                <c:pt idx="28" formatCode="0.00%">
                  <c:v>0.14300000000000002</c:v>
                </c:pt>
                <c:pt idx="29" formatCode="0.00%">
                  <c:v>0.125</c:v>
                </c:pt>
                <c:pt idx="30" formatCode="0.00%">
                  <c:v>0.11199999999999999</c:v>
                </c:pt>
                <c:pt idx="31" formatCode="0.00%">
                  <c:v>0.10199999999999999</c:v>
                </c:pt>
                <c:pt idx="32" formatCode="0.00%">
                  <c:v>0.10099999999999999</c:v>
                </c:pt>
                <c:pt idx="33" formatCode="0.00%">
                  <c:v>8.3000000000000004E-2</c:v>
                </c:pt>
                <c:pt idx="34" formatCode="0.00%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F-1247-80D0-959EAB122608}"/>
            </c:ext>
          </c:extLst>
        </c:ser>
        <c:ser>
          <c:idx val="3"/>
          <c:order val="3"/>
          <c:tx>
            <c:v>Denmark</c:v>
          </c:tx>
          <c:spPr>
            <a:ln w="412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1'!$B$28:$AJ$28</c:f>
              <c:numCache>
                <c:formatCode>0.0000</c:formatCode>
                <c:ptCount val="35"/>
                <c:pt idx="0">
                  <c:v>4.0000000000000001E-3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9.0000000000000011E-3</c:v>
                </c:pt>
                <c:pt idx="4">
                  <c:v>1.4999999999999999E-2</c:v>
                </c:pt>
                <c:pt idx="5">
                  <c:v>1.9E-2</c:v>
                </c:pt>
                <c:pt idx="6">
                  <c:v>1.9E-2</c:v>
                </c:pt>
                <c:pt idx="7">
                  <c:v>1.7000000000000001E-2</c:v>
                </c:pt>
                <c:pt idx="8">
                  <c:v>1.8000000000000002E-2</c:v>
                </c:pt>
                <c:pt idx="9">
                  <c:v>2.4E-2</c:v>
                </c:pt>
                <c:pt idx="10">
                  <c:v>3.2000000000000001E-2</c:v>
                </c:pt>
                <c:pt idx="11">
                  <c:v>3.7999999999999999E-2</c:v>
                </c:pt>
                <c:pt idx="12">
                  <c:v>3.4000000000000002E-2</c:v>
                </c:pt>
                <c:pt idx="13">
                  <c:v>4.9000000000000002E-2</c:v>
                </c:pt>
                <c:pt idx="14">
                  <c:v>5.2999999999999999E-2</c:v>
                </c:pt>
                <c:pt idx="15">
                  <c:v>0.06</c:v>
                </c:pt>
                <c:pt idx="16">
                  <c:v>7.400000000000001E-2</c:v>
                </c:pt>
                <c:pt idx="17">
                  <c:v>8.199999999999999E-2</c:v>
                </c:pt>
                <c:pt idx="18">
                  <c:v>9.0999999999999998E-2</c:v>
                </c:pt>
                <c:pt idx="19">
                  <c:v>9.6000000000000002E-2</c:v>
                </c:pt>
                <c:pt idx="20" formatCode="0.00%">
                  <c:v>9.9000000000000005E-2</c:v>
                </c:pt>
                <c:pt idx="21" formatCode="0.00%">
                  <c:v>0.111</c:v>
                </c:pt>
                <c:pt idx="22" formatCode="0.00%">
                  <c:v>0.114</c:v>
                </c:pt>
                <c:pt idx="23" formatCode="0.00%">
                  <c:v>9.6999999999999989E-2</c:v>
                </c:pt>
                <c:pt idx="24" formatCode="0.00%">
                  <c:v>9.6000000000000002E-2</c:v>
                </c:pt>
                <c:pt idx="25" formatCode="0.00%">
                  <c:v>8.4000000000000005E-2</c:v>
                </c:pt>
                <c:pt idx="26" formatCode="0.00%">
                  <c:v>8.3000000000000004E-2</c:v>
                </c:pt>
                <c:pt idx="27" formatCode="0.00%">
                  <c:v>7.2999999999999995E-2</c:v>
                </c:pt>
                <c:pt idx="28" formatCode="0.00%">
                  <c:v>5.5999999999999994E-2</c:v>
                </c:pt>
                <c:pt idx="29" formatCode="0.00%">
                  <c:v>2.8999999999999998E-2</c:v>
                </c:pt>
                <c:pt idx="30" formatCode="0.00%">
                  <c:v>2.4E-2</c:v>
                </c:pt>
                <c:pt idx="31" formatCode="0.00%">
                  <c:v>3.2000000000000001E-2</c:v>
                </c:pt>
                <c:pt idx="32" formatCode="0.00%">
                  <c:v>2.3E-2</c:v>
                </c:pt>
                <c:pt idx="33" formatCode="0.00%">
                  <c:v>6.0000000000000001E-3</c:v>
                </c:pt>
                <c:pt idx="34" formatCode="0.00%">
                  <c:v>-4.0000000000000001E-3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9F-1247-80D0-959EAB122608}"/>
            </c:ext>
          </c:extLst>
        </c:ser>
        <c:ser>
          <c:idx val="4"/>
          <c:order val="4"/>
          <c:tx>
            <c:v>Hungary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1'!$B$29:$AJ$29</c:f>
              <c:numCache>
                <c:formatCode>0.0000</c:formatCode>
                <c:ptCount val="35"/>
                <c:pt idx="0">
                  <c:v>2.7999999999999997E-2</c:v>
                </c:pt>
                <c:pt idx="1">
                  <c:v>2.8999999999999998E-2</c:v>
                </c:pt>
                <c:pt idx="2">
                  <c:v>3.3000000000000002E-2</c:v>
                </c:pt>
                <c:pt idx="3">
                  <c:v>3.9E-2</c:v>
                </c:pt>
                <c:pt idx="4">
                  <c:v>5.2000000000000005E-2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4.7E-2</c:v>
                </c:pt>
                <c:pt idx="8">
                  <c:v>4.9000000000000002E-2</c:v>
                </c:pt>
                <c:pt idx="9">
                  <c:v>5.5E-2</c:v>
                </c:pt>
                <c:pt idx="10">
                  <c:v>6.6000000000000003E-2</c:v>
                </c:pt>
                <c:pt idx="11">
                  <c:v>7.4999999999999997E-2</c:v>
                </c:pt>
                <c:pt idx="12">
                  <c:v>7.400000000000001E-2</c:v>
                </c:pt>
                <c:pt idx="13">
                  <c:v>7.9000000000000001E-2</c:v>
                </c:pt>
                <c:pt idx="14">
                  <c:v>8.4000000000000005E-2</c:v>
                </c:pt>
                <c:pt idx="15">
                  <c:v>8.5999999999999993E-2</c:v>
                </c:pt>
                <c:pt idx="16">
                  <c:v>9.6000000000000002E-2</c:v>
                </c:pt>
                <c:pt idx="17">
                  <c:v>0.10800000000000001</c:v>
                </c:pt>
                <c:pt idx="18">
                  <c:v>0.126</c:v>
                </c:pt>
                <c:pt idx="19">
                  <c:v>0.14699999999999999</c:v>
                </c:pt>
                <c:pt idx="20" formatCode="0.00%">
                  <c:v>0.18600000000000003</c:v>
                </c:pt>
                <c:pt idx="21" formatCode="0.00%">
                  <c:v>0.20699999999999999</c:v>
                </c:pt>
                <c:pt idx="22" formatCode="0.00%">
                  <c:v>0.21899999999999997</c:v>
                </c:pt>
                <c:pt idx="23" formatCode="0.00%">
                  <c:v>0.23100000000000001</c:v>
                </c:pt>
                <c:pt idx="24" formatCode="0.00%">
                  <c:v>0.25</c:v>
                </c:pt>
                <c:pt idx="25" formatCode="0.00%">
                  <c:v>0.26200000000000001</c:v>
                </c:pt>
                <c:pt idx="26" formatCode="0.00%">
                  <c:v>0.25800000000000001</c:v>
                </c:pt>
                <c:pt idx="27" formatCode="0.00%">
                  <c:v>0.25600000000000001</c:v>
                </c:pt>
                <c:pt idx="28" formatCode="0.00%">
                  <c:v>0.24399999999999999</c:v>
                </c:pt>
                <c:pt idx="29" formatCode="0.00%">
                  <c:v>0.21899999999999997</c:v>
                </c:pt>
                <c:pt idx="30" formatCode="0.00%">
                  <c:v>0.19899999999999998</c:v>
                </c:pt>
                <c:pt idx="31" formatCode="0.00%">
                  <c:v>0.17499999999999999</c:v>
                </c:pt>
                <c:pt idx="32" formatCode="0.00%">
                  <c:v>0.14199999999999999</c:v>
                </c:pt>
                <c:pt idx="33" formatCode="0.00%">
                  <c:v>0.122</c:v>
                </c:pt>
                <c:pt idx="34" formatCode="0.00%">
                  <c:v>9.6000000000000002E-2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F-1247-80D0-959EAB122608}"/>
            </c:ext>
          </c:extLst>
        </c:ser>
        <c:ser>
          <c:idx val="5"/>
          <c:order val="5"/>
          <c:tx>
            <c:v>Poland</c:v>
          </c:tx>
          <c:spPr>
            <a:ln w="444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1'!$B$30:$AJ$30</c:f>
              <c:numCache>
                <c:formatCode>0.0000</c:formatCode>
                <c:ptCount val="35"/>
                <c:pt idx="0">
                  <c:v>3.4000000000000002E-2</c:v>
                </c:pt>
                <c:pt idx="1">
                  <c:v>3.6000000000000004E-2</c:v>
                </c:pt>
                <c:pt idx="2">
                  <c:v>3.6000000000000004E-2</c:v>
                </c:pt>
                <c:pt idx="3">
                  <c:v>4.4000000000000004E-2</c:v>
                </c:pt>
                <c:pt idx="4">
                  <c:v>5.0999999999999997E-2</c:v>
                </c:pt>
                <c:pt idx="5">
                  <c:v>4.5999999999999999E-2</c:v>
                </c:pt>
                <c:pt idx="6">
                  <c:v>4.0999999999999995E-2</c:v>
                </c:pt>
                <c:pt idx="7">
                  <c:v>4.7E-2</c:v>
                </c:pt>
                <c:pt idx="8">
                  <c:v>0.05</c:v>
                </c:pt>
                <c:pt idx="9">
                  <c:v>5.5999999999999994E-2</c:v>
                </c:pt>
                <c:pt idx="10">
                  <c:v>6.4000000000000001E-2</c:v>
                </c:pt>
                <c:pt idx="11">
                  <c:v>7.400000000000001E-2</c:v>
                </c:pt>
                <c:pt idx="12">
                  <c:v>0.08</c:v>
                </c:pt>
                <c:pt idx="13">
                  <c:v>8.6999999999999994E-2</c:v>
                </c:pt>
                <c:pt idx="14">
                  <c:v>8.1000000000000003E-2</c:v>
                </c:pt>
                <c:pt idx="15">
                  <c:v>0.10199999999999999</c:v>
                </c:pt>
                <c:pt idx="16">
                  <c:v>0.114</c:v>
                </c:pt>
                <c:pt idx="17">
                  <c:v>0.128</c:v>
                </c:pt>
                <c:pt idx="18">
                  <c:v>0.14199999999999999</c:v>
                </c:pt>
                <c:pt idx="19">
                  <c:v>0.14199999999999999</c:v>
                </c:pt>
                <c:pt idx="20" formatCode="0.00%">
                  <c:v>0.14800000000000002</c:v>
                </c:pt>
                <c:pt idx="21" formatCode="0.00%">
                  <c:v>0.157</c:v>
                </c:pt>
                <c:pt idx="22" formatCode="0.00%">
                  <c:v>0.16399999999999998</c:v>
                </c:pt>
                <c:pt idx="23" formatCode="0.00%">
                  <c:v>0.161</c:v>
                </c:pt>
                <c:pt idx="24" formatCode="0.00%">
                  <c:v>0.153</c:v>
                </c:pt>
                <c:pt idx="25" formatCode="0.00%">
                  <c:v>0.159</c:v>
                </c:pt>
                <c:pt idx="26" formatCode="0.00%">
                  <c:v>0.17199999999999999</c:v>
                </c:pt>
                <c:pt idx="27" formatCode="0.00%">
                  <c:v>0.152</c:v>
                </c:pt>
                <c:pt idx="28" formatCode="0.00%">
                  <c:v>0.14000000000000001</c:v>
                </c:pt>
                <c:pt idx="29" formatCode="0.00%">
                  <c:v>0.125</c:v>
                </c:pt>
                <c:pt idx="30" formatCode="0.00%">
                  <c:v>0.11</c:v>
                </c:pt>
                <c:pt idx="31" formatCode="0.00%">
                  <c:v>0.10300000000000001</c:v>
                </c:pt>
                <c:pt idx="32" formatCode="0.00%">
                  <c:v>9.5000000000000001E-2</c:v>
                </c:pt>
                <c:pt idx="33" formatCode="0.00%">
                  <c:v>7.6999999999999999E-2</c:v>
                </c:pt>
                <c:pt idx="34" formatCode="0.00%">
                  <c:v>6.3E-2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9F-1247-80D0-959EAB122608}"/>
            </c:ext>
          </c:extLst>
        </c:ser>
        <c:ser>
          <c:idx val="6"/>
          <c:order val="6"/>
          <c:tx>
            <c:v>Romania</c:v>
          </c:tx>
          <c:spPr>
            <a:ln w="444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1'!$B$31:$AJ$31</c:f>
              <c:numCache>
                <c:formatCode>0.0000</c:formatCode>
                <c:ptCount val="35"/>
                <c:pt idx="0">
                  <c:v>1.8000000000000002E-2</c:v>
                </c:pt>
                <c:pt idx="1">
                  <c:v>0.02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2.7000000000000003E-2</c:v>
                </c:pt>
                <c:pt idx="5">
                  <c:v>3.2000000000000001E-2</c:v>
                </c:pt>
                <c:pt idx="6">
                  <c:v>3.5000000000000003E-2</c:v>
                </c:pt>
                <c:pt idx="7">
                  <c:v>3.7999999999999999E-2</c:v>
                </c:pt>
                <c:pt idx="8">
                  <c:v>0.04</c:v>
                </c:pt>
                <c:pt idx="9">
                  <c:v>5.2000000000000005E-2</c:v>
                </c:pt>
                <c:pt idx="10">
                  <c:v>6.5000000000000002E-2</c:v>
                </c:pt>
                <c:pt idx="11">
                  <c:v>6.7000000000000004E-2</c:v>
                </c:pt>
                <c:pt idx="12">
                  <c:v>6.7000000000000004E-2</c:v>
                </c:pt>
                <c:pt idx="13">
                  <c:v>7.2000000000000008E-2</c:v>
                </c:pt>
                <c:pt idx="14">
                  <c:v>7.9000000000000001E-2</c:v>
                </c:pt>
                <c:pt idx="15">
                  <c:v>9.6000000000000002E-2</c:v>
                </c:pt>
                <c:pt idx="16">
                  <c:v>0.11699999999999999</c:v>
                </c:pt>
                <c:pt idx="17">
                  <c:v>0.124</c:v>
                </c:pt>
                <c:pt idx="18">
                  <c:v>0.13</c:v>
                </c:pt>
                <c:pt idx="19">
                  <c:v>0.13</c:v>
                </c:pt>
                <c:pt idx="20" formatCode="0.00%">
                  <c:v>0.13300000000000001</c:v>
                </c:pt>
                <c:pt idx="21" formatCode="0.00%">
                  <c:v>0.13400000000000001</c:v>
                </c:pt>
                <c:pt idx="22" formatCode="0.00%">
                  <c:v>0.13500000000000001</c:v>
                </c:pt>
                <c:pt idx="23" formatCode="0.00%">
                  <c:v>0.14599999999999999</c:v>
                </c:pt>
                <c:pt idx="24" formatCode="0.00%">
                  <c:v>0.14099999999999999</c:v>
                </c:pt>
                <c:pt idx="25" formatCode="0.00%">
                  <c:v>0.13400000000000001</c:v>
                </c:pt>
                <c:pt idx="26" formatCode="0.00%">
                  <c:v>0.13400000000000001</c:v>
                </c:pt>
                <c:pt idx="27" formatCode="0.00%">
                  <c:v>0.122</c:v>
                </c:pt>
                <c:pt idx="28" formatCode="0.00%">
                  <c:v>0.10400000000000001</c:v>
                </c:pt>
                <c:pt idx="29" formatCode="0.00%">
                  <c:v>9.6000000000000002E-2</c:v>
                </c:pt>
                <c:pt idx="30" formatCode="0.00%">
                  <c:v>9.3000000000000013E-2</c:v>
                </c:pt>
                <c:pt idx="31" formatCode="0.00%">
                  <c:v>8.900000000000001E-2</c:v>
                </c:pt>
                <c:pt idx="32" formatCode="0.00%">
                  <c:v>9.3000000000000013E-2</c:v>
                </c:pt>
                <c:pt idx="33" formatCode="0.00%">
                  <c:v>9.1999999999999998E-2</c:v>
                </c:pt>
                <c:pt idx="34" formatCode="0.00%">
                  <c:v>8.3000000000000004E-2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F-1247-80D0-959EAB122608}"/>
            </c:ext>
          </c:extLst>
        </c:ser>
        <c:ser>
          <c:idx val="7"/>
          <c:order val="7"/>
          <c:tx>
            <c:v>Sweden</c:v>
          </c:tx>
          <c:spPr>
            <a:ln w="444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'Sheet 1'!$B$9:$AJ$9</c:f>
              <c:strCache>
                <c:ptCount val="35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</c:strCache>
            </c:strRef>
          </c:cat>
          <c:val>
            <c:numRef>
              <c:f>'Sheet 1'!$B$32:$AJ$32</c:f>
              <c:numCache>
                <c:formatCode>0.0000</c:formatCode>
                <c:ptCount val="35"/>
                <c:pt idx="0">
                  <c:v>6.0000000000000001E-3</c:v>
                </c:pt>
                <c:pt idx="1">
                  <c:v>1.9E-2</c:v>
                </c:pt>
                <c:pt idx="2">
                  <c:v>1.8000000000000002E-2</c:v>
                </c:pt>
                <c:pt idx="3">
                  <c:v>2.1000000000000001E-2</c:v>
                </c:pt>
                <c:pt idx="4">
                  <c:v>2.7999999999999997E-2</c:v>
                </c:pt>
                <c:pt idx="5">
                  <c:v>2.4E-2</c:v>
                </c:pt>
                <c:pt idx="6">
                  <c:v>1.8000000000000002E-2</c:v>
                </c:pt>
                <c:pt idx="7">
                  <c:v>1.8000000000000002E-2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3.3000000000000002E-2</c:v>
                </c:pt>
                <c:pt idx="11">
                  <c:v>3.9E-2</c:v>
                </c:pt>
                <c:pt idx="12">
                  <c:v>4.4999999999999998E-2</c:v>
                </c:pt>
                <c:pt idx="13">
                  <c:v>3.9E-2</c:v>
                </c:pt>
                <c:pt idx="14">
                  <c:v>4.4000000000000004E-2</c:v>
                </c:pt>
                <c:pt idx="15">
                  <c:v>6.3E-2</c:v>
                </c:pt>
                <c:pt idx="16">
                  <c:v>6.6000000000000003E-2</c:v>
                </c:pt>
                <c:pt idx="17">
                  <c:v>7.4999999999999997E-2</c:v>
                </c:pt>
                <c:pt idx="18">
                  <c:v>8.900000000000001E-2</c:v>
                </c:pt>
                <c:pt idx="19">
                  <c:v>8.3000000000000004E-2</c:v>
                </c:pt>
                <c:pt idx="20" formatCode="0.00%">
                  <c:v>9.5000000000000001E-2</c:v>
                </c:pt>
                <c:pt idx="21" formatCode="0.00%">
                  <c:v>0.10300000000000001</c:v>
                </c:pt>
                <c:pt idx="22" formatCode="0.00%">
                  <c:v>9.8000000000000004E-2</c:v>
                </c:pt>
                <c:pt idx="23" formatCode="0.00%">
                  <c:v>0.10099999999999999</c:v>
                </c:pt>
                <c:pt idx="24" formatCode="0.00%">
                  <c:v>0.10800000000000001</c:v>
                </c:pt>
                <c:pt idx="25" formatCode="0.00%">
                  <c:v>9.6000000000000002E-2</c:v>
                </c:pt>
                <c:pt idx="26" formatCode="0.00%">
                  <c:v>9.6999999999999989E-2</c:v>
                </c:pt>
                <c:pt idx="27" formatCode="0.00%">
                  <c:v>8.1000000000000003E-2</c:v>
                </c:pt>
                <c:pt idx="28" formatCode="0.00%">
                  <c:v>7.6999999999999999E-2</c:v>
                </c:pt>
                <c:pt idx="29" formatCode="0.00%">
                  <c:v>6.7000000000000004E-2</c:v>
                </c:pt>
                <c:pt idx="30" formatCode="0.00%">
                  <c:v>6.3E-2</c:v>
                </c:pt>
                <c:pt idx="31" formatCode="0.00%">
                  <c:v>6.3E-2</c:v>
                </c:pt>
                <c:pt idx="32" formatCode="0.00%">
                  <c:v>4.4999999999999998E-2</c:v>
                </c:pt>
                <c:pt idx="33" formatCode="0.00%">
                  <c:v>3.7000000000000005E-2</c:v>
                </c:pt>
                <c:pt idx="34" formatCode="0.00%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9F-1247-80D0-959EAB122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948351"/>
        <c:axId val="1361950079"/>
      </c:lineChart>
      <c:catAx>
        <c:axId val="1361948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361950079"/>
        <c:crosses val="autoZero"/>
        <c:auto val="1"/>
        <c:lblAlgn val="ctr"/>
        <c:lblOffset val="100"/>
        <c:noMultiLvlLbl val="0"/>
      </c:catAx>
      <c:valAx>
        <c:axId val="136195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HICP</a:t>
                </a:r>
                <a:r>
                  <a:rPr lang="en-GB" sz="1800" baseline="0"/>
                  <a:t> 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36194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987785590466555"/>
          <c:y val="0.93896522109048297"/>
          <c:w val="0.36024423307945064"/>
          <c:h val="5.4918570958446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Indexing the Fisher-effect</a:t>
            </a:r>
            <a:r>
              <a:rPr lang="en-GB" sz="2000" baseline="0"/>
              <a:t> for the HUF and other EU currencies 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>
        <c:manualLayout>
          <c:layoutTarget val="inner"/>
          <c:xMode val="edge"/>
          <c:yMode val="edge"/>
          <c:x val="5.8728206471062874E-2"/>
          <c:y val="5.6625954198473286E-2"/>
          <c:w val="0.9331135733454069"/>
          <c:h val="0.68328075975235925"/>
        </c:manualLayout>
      </c:layout>
      <c:lineChart>
        <c:grouping val="standard"/>
        <c:varyColors val="0"/>
        <c:ser>
          <c:idx val="0"/>
          <c:order val="0"/>
          <c:tx>
            <c:v>EUR/BGN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1'!$B$9:$AK$9</c:f>
              <c:strCache>
                <c:ptCount val="36"/>
                <c:pt idx="0">
                  <c:v>2020-12</c:v>
                </c:pt>
                <c:pt idx="1">
                  <c:v>2021-01</c:v>
                </c:pt>
                <c:pt idx="2">
                  <c:v>2021-02</c:v>
                </c:pt>
                <c:pt idx="3">
                  <c:v>2021-03</c:v>
                </c:pt>
                <c:pt idx="4">
                  <c:v>2021-04</c:v>
                </c:pt>
                <c:pt idx="5">
                  <c:v>2021-05</c:v>
                </c:pt>
                <c:pt idx="6">
                  <c:v>2021-06</c:v>
                </c:pt>
                <c:pt idx="7">
                  <c:v>2021-07</c:v>
                </c:pt>
                <c:pt idx="8">
                  <c:v>2021-08</c:v>
                </c:pt>
                <c:pt idx="9">
                  <c:v>2021-09</c:v>
                </c:pt>
                <c:pt idx="10">
                  <c:v>2021-10</c:v>
                </c:pt>
                <c:pt idx="11">
                  <c:v>2021-11</c:v>
                </c:pt>
                <c:pt idx="12">
                  <c:v>2021-12</c:v>
                </c:pt>
                <c:pt idx="13">
                  <c:v>2022-01</c:v>
                </c:pt>
                <c:pt idx="14">
                  <c:v>2022-02</c:v>
                </c:pt>
                <c:pt idx="15">
                  <c:v>2022-03</c:v>
                </c:pt>
                <c:pt idx="16">
                  <c:v>2022-04</c:v>
                </c:pt>
                <c:pt idx="17">
                  <c:v>2022-05</c:v>
                </c:pt>
                <c:pt idx="18">
                  <c:v>2022-06</c:v>
                </c:pt>
                <c:pt idx="19">
                  <c:v>2022-07</c:v>
                </c:pt>
                <c:pt idx="20">
                  <c:v>2022-08</c:v>
                </c:pt>
                <c:pt idx="21">
                  <c:v>2022-09</c:v>
                </c:pt>
                <c:pt idx="22">
                  <c:v>2022-10</c:v>
                </c:pt>
                <c:pt idx="23">
                  <c:v>2022-11</c:v>
                </c:pt>
                <c:pt idx="24">
                  <c:v>2022-12</c:v>
                </c:pt>
                <c:pt idx="25">
                  <c:v>2023-01</c:v>
                </c:pt>
                <c:pt idx="26">
                  <c:v>2023-02</c:v>
                </c:pt>
                <c:pt idx="27">
                  <c:v>2023-03</c:v>
                </c:pt>
                <c:pt idx="28">
                  <c:v>2023-04</c:v>
                </c:pt>
                <c:pt idx="29">
                  <c:v>2023-05</c:v>
                </c:pt>
                <c:pt idx="30">
                  <c:v>2023-06</c:v>
                </c:pt>
                <c:pt idx="31">
                  <c:v>2023-07</c:v>
                </c:pt>
                <c:pt idx="32">
                  <c:v>2023-08</c:v>
                </c:pt>
                <c:pt idx="33">
                  <c:v>2023-09</c:v>
                </c:pt>
                <c:pt idx="34">
                  <c:v>2023-10</c:v>
                </c:pt>
                <c:pt idx="35">
                  <c:v>2023-11</c:v>
                </c:pt>
              </c:strCache>
            </c:strRef>
          </c:cat>
          <c:val>
            <c:numRef>
              <c:f>'Sheet 1'!$B$82:$AJ$82</c:f>
              <c:numCache>
                <c:formatCode>General</c:formatCode>
                <c:ptCount val="35"/>
                <c:pt idx="0">
                  <c:v>1.0003417767955747</c:v>
                </c:pt>
                <c:pt idx="1">
                  <c:v>1.0006502479919563</c:v>
                </c:pt>
                <c:pt idx="2">
                  <c:v>1.00082529839344</c:v>
                </c:pt>
                <c:pt idx="3">
                  <c:v>1.000916967004789</c:v>
                </c:pt>
                <c:pt idx="4">
                  <c:v>1.0009669591131105</c:v>
                </c:pt>
                <c:pt idx="5">
                  <c:v>1.0008920280186047</c:v>
                </c:pt>
                <c:pt idx="6">
                  <c:v>1.0008753716081684</c:v>
                </c:pt>
                <c:pt idx="7">
                  <c:v>1.000975384147833</c:v>
                </c:pt>
                <c:pt idx="8">
                  <c:v>1.0011672082741963</c:v>
                </c:pt>
                <c:pt idx="9">
                  <c:v>1.0012422198705981</c:v>
                </c:pt>
                <c:pt idx="10">
                  <c:v>1.0012671925526362</c:v>
                </c:pt>
                <c:pt idx="11">
                  <c:v>1.0013338060344643</c:v>
                </c:pt>
                <c:pt idx="12">
                  <c:v>1.0015917822287062</c:v>
                </c:pt>
                <c:pt idx="13">
                  <c:v>1.0017329995304447</c:v>
                </c:pt>
                <c:pt idx="14">
                  <c:v>1.0016003591638207</c:v>
                </c:pt>
                <c:pt idx="15">
                  <c:v>1.0017656698116728</c:v>
                </c:pt>
                <c:pt idx="16">
                  <c:v>1.0019630816026583</c:v>
                </c:pt>
                <c:pt idx="17">
                  <c:v>1.0019055869670837</c:v>
                </c:pt>
                <c:pt idx="18">
                  <c:v>1.0015127976218423</c:v>
                </c:pt>
                <c:pt idx="19">
                  <c:v>1.0014636472365275</c:v>
                </c:pt>
                <c:pt idx="20">
                  <c:v>1.0014636472365275</c:v>
                </c:pt>
                <c:pt idx="21">
                  <c:v>1.000843411687274</c:v>
                </c:pt>
                <c:pt idx="22">
                  <c:v>0.99990740670611733</c:v>
                </c:pt>
                <c:pt idx="23">
                  <c:v>0.99910979916913556</c:v>
                </c:pt>
                <c:pt idx="24">
                  <c:v>0.99829664893812187</c:v>
                </c:pt>
                <c:pt idx="25">
                  <c:v>0.99742760714531598</c:v>
                </c:pt>
                <c:pt idx="26">
                  <c:v>0.99715300477215618</c:v>
                </c:pt>
                <c:pt idx="27">
                  <c:v>0.99804325321792853</c:v>
                </c:pt>
                <c:pt idx="28">
                  <c:v>0.99880654346584397</c:v>
                </c:pt>
                <c:pt idx="29">
                  <c:v>0.99956233702972586</c:v>
                </c:pt>
                <c:pt idx="30">
                  <c:v>1.0003510538111675</c:v>
                </c:pt>
                <c:pt idx="31">
                  <c:v>1.001067564185933</c:v>
                </c:pt>
                <c:pt idx="32">
                  <c:v>1.0017198625447417</c:v>
                </c:pt>
                <c:pt idx="33">
                  <c:v>1.0022593737422523</c:v>
                </c:pt>
                <c:pt idx="34">
                  <c:v>1.0026215102003775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1E-0D43-8883-954C72AFE544}"/>
            </c:ext>
          </c:extLst>
        </c:ser>
        <c:ser>
          <c:idx val="1"/>
          <c:order val="1"/>
          <c:tx>
            <c:v>EUR/CZK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1'!$B$83:$AJ$83</c:f>
              <c:numCache>
                <c:formatCode>General</c:formatCode>
                <c:ptCount val="35"/>
                <c:pt idx="0">
                  <c:v>1.0012277283846081</c:v>
                </c:pt>
                <c:pt idx="1">
                  <c:v>1.0024399801234753</c:v>
                </c:pt>
                <c:pt idx="2">
                  <c:v>1.0037264563714881</c:v>
                </c:pt>
                <c:pt idx="3">
                  <c:v>1.00525222094064</c:v>
                </c:pt>
                <c:pt idx="4">
                  <c:v>1.0067301437230629</c:v>
                </c:pt>
                <c:pt idx="5">
                  <c:v>1.0079853948139919</c:v>
                </c:pt>
                <c:pt idx="6">
                  <c:v>1.0092430833973531</c:v>
                </c:pt>
                <c:pt idx="7">
                  <c:v>1.0106615422141503</c:v>
                </c:pt>
                <c:pt idx="8">
                  <c:v>1.0121913883944498</c:v>
                </c:pt>
                <c:pt idx="9">
                  <c:v>1.013729563024202</c:v>
                </c:pt>
                <c:pt idx="10">
                  <c:v>1.0154994589900623</c:v>
                </c:pt>
                <c:pt idx="11">
                  <c:v>1.0175464053586554</c:v>
                </c:pt>
                <c:pt idx="12">
                  <c:v>1.0196314140096046</c:v>
                </c:pt>
                <c:pt idx="13">
                  <c:v>1.0219052724943747</c:v>
                </c:pt>
                <c:pt idx="14">
                  <c:v>1.0237957994132416</c:v>
                </c:pt>
                <c:pt idx="15">
                  <c:v>1.0260019455994556</c:v>
                </c:pt>
                <c:pt idx="16">
                  <c:v>1.0281940470956905</c:v>
                </c:pt>
                <c:pt idx="17">
                  <c:v>1.0306226071838207</c:v>
                </c:pt>
                <c:pt idx="18">
                  <c:v>1.0330028054206795</c:v>
                </c:pt>
                <c:pt idx="19">
                  <c:v>1.0350829202072169</c:v>
                </c:pt>
                <c:pt idx="20">
                  <c:v>1.0369777232886566</c:v>
                </c:pt>
                <c:pt idx="21">
                  <c:v>1.0387381658566988</c:v>
                </c:pt>
                <c:pt idx="22">
                  <c:v>1.0408325979269291</c:v>
                </c:pt>
                <c:pt idx="23">
                  <c:v>1.042736483091524</c:v>
                </c:pt>
                <c:pt idx="24">
                  <c:v>1.0442950612802968</c:v>
                </c:pt>
                <c:pt idx="25">
                  <c:v>1.0455967120133327</c:v>
                </c:pt>
                <c:pt idx="26">
                  <c:v>1.0468897621484774</c:v>
                </c:pt>
                <c:pt idx="27">
                  <c:v>1.0482090765145797</c:v>
                </c:pt>
                <c:pt idx="28">
                  <c:v>1.0495303080449059</c:v>
                </c:pt>
                <c:pt idx="29">
                  <c:v>1.0507191084456797</c:v>
                </c:pt>
                <c:pt idx="30">
                  <c:v>1.051817361804569</c:v>
                </c:pt>
                <c:pt idx="31">
                  <c:v>1.052671861466556</c:v>
                </c:pt>
                <c:pt idx="32">
                  <c:v>1.0535516613999651</c:v>
                </c:pt>
                <c:pt idx="33">
                  <c:v>1.0545067288715191</c:v>
                </c:pt>
                <c:pt idx="34">
                  <c:v>1.0554690413323997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E-0D43-8883-954C72AFE544}"/>
            </c:ext>
          </c:extLst>
        </c:ser>
        <c:ser>
          <c:idx val="2"/>
          <c:order val="2"/>
          <c:tx>
            <c:v>EUR/DKK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'Sheet 1'!$B$84:$AJ$84</c:f>
              <c:numCache>
                <c:formatCode>General</c:formatCode>
                <c:ptCount val="35"/>
                <c:pt idx="0">
                  <c:v>0.99979096716916394</c:v>
                </c:pt>
                <c:pt idx="1">
                  <c:v>0.9995736956671093</c:v>
                </c:pt>
                <c:pt idx="2">
                  <c:v>0.99939014520560154</c:v>
                </c:pt>
                <c:pt idx="3">
                  <c:v>0.99934017694605903</c:v>
                </c:pt>
                <c:pt idx="4">
                  <c:v>0.99927358312139436</c:v>
                </c:pt>
                <c:pt idx="5">
                  <c:v>0.99917383031862017</c:v>
                </c:pt>
                <c:pt idx="6">
                  <c:v>0.99913225506757108</c:v>
                </c:pt>
                <c:pt idx="7">
                  <c:v>0.999073965306982</c:v>
                </c:pt>
                <c:pt idx="8">
                  <c:v>0.99901561475366951</c:v>
                </c:pt>
                <c:pt idx="9">
                  <c:v>0.99895735510459904</c:v>
                </c:pt>
                <c:pt idx="10">
                  <c:v>0.99885762391368804</c:v>
                </c:pt>
                <c:pt idx="11">
                  <c:v>0.99872457148635052</c:v>
                </c:pt>
                <c:pt idx="12">
                  <c:v>0.99854985358988335</c:v>
                </c:pt>
                <c:pt idx="13">
                  <c:v>0.99830918000721813</c:v>
                </c:pt>
                <c:pt idx="14">
                  <c:v>0.9980528925382095</c:v>
                </c:pt>
                <c:pt idx="15">
                  <c:v>0.99778870864489044</c:v>
                </c:pt>
                <c:pt idx="16">
                  <c:v>0.99750942053210323</c:v>
                </c:pt>
                <c:pt idx="17">
                  <c:v>0.99719005597129262</c:v>
                </c:pt>
                <c:pt idx="18">
                  <c:v>0.99685623262925682</c:v>
                </c:pt>
                <c:pt idx="19">
                  <c:v>0.99659501030334785</c:v>
                </c:pt>
                <c:pt idx="20">
                  <c:v>0.99621095428243789</c:v>
                </c:pt>
                <c:pt idx="21">
                  <c:v>0.99587863090411055</c:v>
                </c:pt>
                <c:pt idx="22">
                  <c:v>0.99555576500089493</c:v>
                </c:pt>
                <c:pt idx="23">
                  <c:v>0.99519197591110875</c:v>
                </c:pt>
                <c:pt idx="24">
                  <c:v>0.99473929146040552</c:v>
                </c:pt>
                <c:pt idx="25">
                  <c:v>0.99434376652923129</c:v>
                </c:pt>
                <c:pt idx="26">
                  <c:v>0.99392474851192081</c:v>
                </c:pt>
                <c:pt idx="27">
                  <c:v>0.99348181302408212</c:v>
                </c:pt>
                <c:pt idx="28">
                  <c:v>0.99309546902107115</c:v>
                </c:pt>
                <c:pt idx="29">
                  <c:v>0.992652860060243</c:v>
                </c:pt>
                <c:pt idx="30">
                  <c:v>0.99226672579968478</c:v>
                </c:pt>
                <c:pt idx="31">
                  <c:v>0.99191327954578357</c:v>
                </c:pt>
                <c:pt idx="32">
                  <c:v>0.99155219370303394</c:v>
                </c:pt>
                <c:pt idx="33">
                  <c:v>0.99112749539343281</c:v>
                </c:pt>
                <c:pt idx="34">
                  <c:v>0.99070388276944765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1E-0D43-8883-954C72AFE544}"/>
            </c:ext>
          </c:extLst>
        </c:ser>
        <c:ser>
          <c:idx val="3"/>
          <c:order val="3"/>
          <c:tx>
            <c:v>EUR/HUF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'Sheet 1'!$B$85:$AJ$85</c:f>
              <c:numCache>
                <c:formatCode>General</c:formatCode>
                <c:ptCount val="35"/>
                <c:pt idx="0">
                  <c:v>1.0019663014145097</c:v>
                </c:pt>
                <c:pt idx="1">
                  <c:v>1.0039520587520594</c:v>
                </c:pt>
                <c:pt idx="2">
                  <c:v>1.0060130790065052</c:v>
                </c:pt>
                <c:pt idx="3">
                  <c:v>1.0082075055838924</c:v>
                </c:pt>
                <c:pt idx="4">
                  <c:v>1.0103728422048195</c:v>
                </c:pt>
                <c:pt idx="5">
                  <c:v>1.012621631368922</c:v>
                </c:pt>
                <c:pt idx="6">
                  <c:v>1.014860537517694</c:v>
                </c:pt>
                <c:pt idx="7">
                  <c:v>1.0172064709023796</c:v>
                </c:pt>
                <c:pt idx="8">
                  <c:v>1.0196595864666607</c:v>
                </c:pt>
                <c:pt idx="9">
                  <c:v>1.0222059092493394</c:v>
                </c:pt>
                <c:pt idx="10">
                  <c:v>1.0251095046288428</c:v>
                </c:pt>
                <c:pt idx="11">
                  <c:v>1.0283775415430019</c:v>
                </c:pt>
                <c:pt idx="12">
                  <c:v>1.0319625583485439</c:v>
                </c:pt>
                <c:pt idx="13">
                  <c:v>1.0355835529966166</c:v>
                </c:pt>
                <c:pt idx="14">
                  <c:v>1.0390226794757178</c:v>
                </c:pt>
                <c:pt idx="15">
                  <c:v>1.0432438859262994</c:v>
                </c:pt>
                <c:pt idx="16">
                  <c:v>1.0476097444954484</c:v>
                </c:pt>
                <c:pt idx="17">
                  <c:v>1.05222651394605</c:v>
                </c:pt>
                <c:pt idx="18">
                  <c:v>1.0569939911753559</c:v>
                </c:pt>
                <c:pt idx="19">
                  <c:v>1.0625358659090196</c:v>
                </c:pt>
                <c:pt idx="20">
                  <c:v>1.0678963592181903</c:v>
                </c:pt>
                <c:pt idx="21">
                  <c:v>1.073474649929971</c:v>
                </c:pt>
                <c:pt idx="22">
                  <c:v>1.0795768773677374</c:v>
                </c:pt>
                <c:pt idx="23">
                  <c:v>1.0846742296252623</c:v>
                </c:pt>
                <c:pt idx="24">
                  <c:v>1.0896276427737857</c:v>
                </c:pt>
                <c:pt idx="25">
                  <c:v>1.0938084214221613</c:v>
                </c:pt>
                <c:pt idx="26">
                  <c:v>1.098270229071989</c:v>
                </c:pt>
                <c:pt idx="27">
                  <c:v>1.1029863570068943</c:v>
                </c:pt>
                <c:pt idx="28">
                  <c:v>1.1075789233950919</c:v>
                </c:pt>
                <c:pt idx="29">
                  <c:v>1.1116928678184854</c:v>
                </c:pt>
                <c:pt idx="30">
                  <c:v>1.1153565409313715</c:v>
                </c:pt>
                <c:pt idx="31">
                  <c:v>1.11886386274649</c:v>
                </c:pt>
                <c:pt idx="32">
                  <c:v>1.1225713378862485</c:v>
                </c:pt>
                <c:pt idx="33">
                  <c:v>1.1258838888864025</c:v>
                </c:pt>
                <c:pt idx="34">
                  <c:v>1.1294007785818534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1E-0D43-8883-954C72AFE544}"/>
            </c:ext>
          </c:extLst>
        </c:ser>
        <c:ser>
          <c:idx val="4"/>
          <c:order val="4"/>
          <c:tx>
            <c:v>EUR/PLN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'Sheet 1'!$B$86:$AJ$86</c:f>
              <c:numCache>
                <c:formatCode>General</c:formatCode>
                <c:ptCount val="35"/>
                <c:pt idx="0">
                  <c:v>1.0012524442595423</c:v>
                </c:pt>
                <c:pt idx="1">
                  <c:v>1.0023904610206547</c:v>
                </c:pt>
                <c:pt idx="2">
                  <c:v>1.0035284117504653</c:v>
                </c:pt>
                <c:pt idx="3">
                  <c:v>1.004773908835316</c:v>
                </c:pt>
                <c:pt idx="4">
                  <c:v>1.0059955702705665</c:v>
                </c:pt>
                <c:pt idx="5">
                  <c:v>1.0073158832432709</c:v>
                </c:pt>
                <c:pt idx="6">
                  <c:v>1.0086636253032892</c:v>
                </c:pt>
                <c:pt idx="7">
                  <c:v>1.0099901994127838</c:v>
                </c:pt>
                <c:pt idx="8">
                  <c:v>1.0114029638688202</c:v>
                </c:pt>
                <c:pt idx="9">
                  <c:v>1.0129150856934708</c:v>
                </c:pt>
                <c:pt idx="10">
                  <c:v>1.0149228573656688</c:v>
                </c:pt>
                <c:pt idx="11">
                  <c:v>1.0173806406941841</c:v>
                </c:pt>
                <c:pt idx="12">
                  <c:v>1.0200676891893001</c:v>
                </c:pt>
                <c:pt idx="13">
                  <c:v>1.0230667267360267</c:v>
                </c:pt>
                <c:pt idx="14">
                  <c:v>1.0257189912212494</c:v>
                </c:pt>
                <c:pt idx="15">
                  <c:v>1.0289987611063636</c:v>
                </c:pt>
                <c:pt idx="16">
                  <c:v>1.0327946758635524</c:v>
                </c:pt>
                <c:pt idx="17">
                  <c:v>1.0368934900958366</c:v>
                </c:pt>
                <c:pt idx="18">
                  <c:v>1.0409379488663719</c:v>
                </c:pt>
                <c:pt idx="19">
                  <c:v>1.0446601737062442</c:v>
                </c:pt>
                <c:pt idx="20">
                  <c:v>1.047977819735681</c:v>
                </c:pt>
                <c:pt idx="21">
                  <c:v>1.0510512970485002</c:v>
                </c:pt>
                <c:pt idx="22">
                  <c:v>1.0550646876624148</c:v>
                </c:pt>
                <c:pt idx="23">
                  <c:v>1.0587631934072503</c:v>
                </c:pt>
                <c:pt idx="24">
                  <c:v>1.0619359070986396</c:v>
                </c:pt>
                <c:pt idx="25">
                  <c:v>1.06456530396285</c:v>
                </c:pt>
                <c:pt idx="26">
                  <c:v>1.0672058029611431</c:v>
                </c:pt>
                <c:pt idx="27">
                  <c:v>1.0697933146318521</c:v>
                </c:pt>
                <c:pt idx="28">
                  <c:v>1.0723454814827142</c:v>
                </c:pt>
                <c:pt idx="29">
                  <c:v>1.0747767479531332</c:v>
                </c:pt>
                <c:pt idx="30">
                  <c:v>1.077231414332356</c:v>
                </c:pt>
                <c:pt idx="31">
                  <c:v>1.0792983341876119</c:v>
                </c:pt>
                <c:pt idx="32">
                  <c:v>1.081342032624879</c:v>
                </c:pt>
                <c:pt idx="33">
                  <c:v>1.0833441521263771</c:v>
                </c:pt>
                <c:pt idx="34">
                  <c:v>1.0852945040181186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1E-0D43-8883-954C72AFE544}"/>
            </c:ext>
          </c:extLst>
        </c:ser>
        <c:ser>
          <c:idx val="5"/>
          <c:order val="5"/>
          <c:tx>
            <c:v>EUR/RON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'Sheet 1'!$B$87:$AJ$87</c:f>
              <c:numCache>
                <c:formatCode>General</c:formatCode>
                <c:ptCount val="35"/>
                <c:pt idx="0">
                  <c:v>1.0026015892579887</c:v>
                </c:pt>
                <c:pt idx="1">
                  <c:v>1.0049971784295637</c:v>
                </c:pt>
                <c:pt idx="2">
                  <c:v>1.00724041473304</c:v>
                </c:pt>
                <c:pt idx="3">
                  <c:v>1.0096666201385089</c:v>
                </c:pt>
                <c:pt idx="4">
                  <c:v>1.0119581743466752</c:v>
                </c:pt>
                <c:pt idx="5">
                  <c:v>1.0142843557174581</c:v>
                </c:pt>
                <c:pt idx="6">
                  <c:v>1.0167408348201183</c:v>
                </c:pt>
                <c:pt idx="7">
                  <c:v>1.0194291043400754</c:v>
                </c:pt>
                <c:pt idx="8">
                  <c:v>1.0226134271405085</c:v>
                </c:pt>
                <c:pt idx="9">
                  <c:v>1.0259099160038052</c:v>
                </c:pt>
                <c:pt idx="10">
                  <c:v>1.0296964061678591</c:v>
                </c:pt>
                <c:pt idx="11">
                  <c:v>1.0338353878260533</c:v>
                </c:pt>
                <c:pt idx="12">
                  <c:v>1.0382392844297257</c:v>
                </c:pt>
                <c:pt idx="13">
                  <c:v>1.0424279878185949</c:v>
                </c:pt>
                <c:pt idx="14">
                  <c:v>1.0465029367095138</c:v>
                </c:pt>
                <c:pt idx="15">
                  <c:v>1.0509857258609769</c:v>
                </c:pt>
                <c:pt idx="16">
                  <c:v>1.0554004839780184</c:v>
                </c:pt>
                <c:pt idx="17">
                  <c:v>1.0605775380961748</c:v>
                </c:pt>
                <c:pt idx="18">
                  <c:v>1.0660304073712943</c:v>
                </c:pt>
                <c:pt idx="19">
                  <c:v>1.0722349492945602</c:v>
                </c:pt>
                <c:pt idx="20">
                  <c:v>1.0776028629126073</c:v>
                </c:pt>
                <c:pt idx="21">
                  <c:v>1.0822685172461453</c:v>
                </c:pt>
                <c:pt idx="22">
                  <c:v>1.0874950013069058</c:v>
                </c:pt>
                <c:pt idx="23">
                  <c:v>1.0916542735173931</c:v>
                </c:pt>
                <c:pt idx="24">
                  <c:v>1.095403683876039</c:v>
                </c:pt>
                <c:pt idx="25">
                  <c:v>1.0987869347128487</c:v>
                </c:pt>
                <c:pt idx="26">
                  <c:v>1.1026128091740648</c:v>
                </c:pt>
                <c:pt idx="27">
                  <c:v>1.1061158117688752</c:v>
                </c:pt>
                <c:pt idx="28">
                  <c:v>1.1095615056011585</c:v>
                </c:pt>
                <c:pt idx="29">
                  <c:v>1.1124003280676384</c:v>
                </c:pt>
                <c:pt idx="30">
                  <c:v>1.1151162248449342</c:v>
                </c:pt>
                <c:pt idx="31">
                  <c:v>1.1178364082750134</c:v>
                </c:pt>
                <c:pt idx="32">
                  <c:v>1.1206138456455628</c:v>
                </c:pt>
                <c:pt idx="33">
                  <c:v>1.1242698922184566</c:v>
                </c:pt>
                <c:pt idx="34">
                  <c:v>1.1271505168405906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1E-0D43-8883-954C72AFE544}"/>
            </c:ext>
          </c:extLst>
        </c:ser>
        <c:ser>
          <c:idx val="6"/>
          <c:order val="6"/>
          <c:tx>
            <c:v>EUR/SEK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'Sheet 1'!$B$88:$AJ$88</c:f>
              <c:numCache>
                <c:formatCode>General</c:formatCode>
                <c:ptCount val="35"/>
                <c:pt idx="0">
                  <c:v>1.0001918866208441</c:v>
                </c:pt>
                <c:pt idx="1">
                  <c:v>1.0004003964386334</c:v>
                </c:pt>
                <c:pt idx="2">
                  <c:v>1.0006586214531783</c:v>
                </c:pt>
                <c:pt idx="3">
                  <c:v>1.0009665436481792</c:v>
                </c:pt>
                <c:pt idx="4">
                  <c:v>1.0012079301118351</c:v>
                </c:pt>
                <c:pt idx="5">
                  <c:v>1.0013659536814232</c:v>
                </c:pt>
                <c:pt idx="6">
                  <c:v>1.0015324290988663</c:v>
                </c:pt>
                <c:pt idx="7">
                  <c:v>1.0016658422653597</c:v>
                </c:pt>
                <c:pt idx="8">
                  <c:v>1.0018327838452994</c:v>
                </c:pt>
                <c:pt idx="9">
                  <c:v>1.0020078311348601</c:v>
                </c:pt>
                <c:pt idx="10">
                  <c:v>1.0021410414568701</c:v>
                </c:pt>
                <c:pt idx="11">
                  <c:v>1.0022243733591831</c:v>
                </c:pt>
                <c:pt idx="12">
                  <c:v>1.0022327140038503</c:v>
                </c:pt>
                <c:pt idx="13">
                  <c:v>1.002199433267754</c:v>
                </c:pt>
                <c:pt idx="14">
                  <c:v>1.0020667311402196</c:v>
                </c:pt>
                <c:pt idx="15">
                  <c:v>1.0020087744652137</c:v>
                </c:pt>
                <c:pt idx="16">
                  <c:v>1.0020828720167445</c:v>
                </c:pt>
                <c:pt idx="17">
                  <c:v>1.0021485436153617</c:v>
                </c:pt>
                <c:pt idx="18">
                  <c:v>1.0018294540869928</c:v>
                </c:pt>
                <c:pt idx="19">
                  <c:v>1.0015176206358547</c:v>
                </c:pt>
                <c:pt idx="20">
                  <c:v>1.0013207426956379</c:v>
                </c:pt>
                <c:pt idx="21">
                  <c:v>1.0008887181018373</c:v>
                </c:pt>
                <c:pt idx="22">
                  <c:v>1.0002956493370683</c:v>
                </c:pt>
                <c:pt idx="23">
                  <c:v>0.99966114223457703</c:v>
                </c:pt>
                <c:pt idx="24">
                  <c:v>0.99894556081117614</c:v>
                </c:pt>
                <c:pt idx="25">
                  <c:v>0.99826358316682073</c:v>
                </c:pt>
                <c:pt idx="26">
                  <c:v>0.99769684118760671</c:v>
                </c:pt>
                <c:pt idx="27">
                  <c:v>0.99709000386567792</c:v>
                </c:pt>
                <c:pt idx="28">
                  <c:v>0.99651587156775601</c:v>
                </c:pt>
                <c:pt idx="29">
                  <c:v>0.99589347314039611</c:v>
                </c:pt>
                <c:pt idx="30">
                  <c:v>0.99541706630549642</c:v>
                </c:pt>
                <c:pt idx="31">
                  <c:v>0.99491704569629824</c:v>
                </c:pt>
                <c:pt idx="32">
                  <c:v>0.99453873581744368</c:v>
                </c:pt>
                <c:pt idx="33">
                  <c:v>0.99414497769924293</c:v>
                </c:pt>
                <c:pt idx="34">
                  <c:v>0.99369596445508157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1E-0D43-8883-954C72AFE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2800544"/>
        <c:axId val="1460048128"/>
      </c:lineChart>
      <c:catAx>
        <c:axId val="200280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460048128"/>
        <c:crosses val="autoZero"/>
        <c:auto val="1"/>
        <c:lblAlgn val="ctr"/>
        <c:lblOffset val="100"/>
        <c:noMultiLvlLbl val="0"/>
      </c:catAx>
      <c:valAx>
        <c:axId val="1460048128"/>
        <c:scaling>
          <c:orientation val="minMax"/>
          <c:min val="0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Appreciation/devaluation</a:t>
                </a:r>
                <a:r>
                  <a:rPr lang="en-GB" sz="1800" baseline="0"/>
                  <a:t> indexing 1=(2020-12)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20028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Appreciation/devaluation</a:t>
            </a:r>
            <a:r>
              <a:rPr lang="en-GB" sz="2000" baseline="0"/>
              <a:t> of  EUR/HUF (monthly)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3.5370734650181042E-2"/>
                  <c:y val="8.6381075595012374E-2"/>
                </c:manualLayout>
              </c:layout>
              <c:tx>
                <c:rich>
                  <a:bodyPr/>
                  <a:lstStyle/>
                  <a:p>
                    <a:r>
                      <a:rPr lang="en-US" sz="1050"/>
                      <a:t>Russia's</a:t>
                    </a:r>
                    <a:r>
                      <a:rPr lang="en-US" sz="1050" baseline="0"/>
                      <a:t> agression</a:t>
                    </a:r>
                    <a:endParaRPr lang="en-US" sz="105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CDF-714B-B0AF-013BA2CE15CE}"/>
                </c:ext>
              </c:extLst>
            </c:dLbl>
            <c:dLbl>
              <c:idx val="21"/>
              <c:layout>
                <c:manualLayout>
                  <c:x val="-0.19963599069072213"/>
                  <c:y val="-1.4164305949008499E-2"/>
                </c:manualLayout>
              </c:layout>
              <c:tx>
                <c:rich>
                  <a:bodyPr/>
                  <a:lstStyle/>
                  <a:p>
                    <a:r>
                      <a:rPr lang="en-US" sz="1000"/>
                      <a:t>Weakest</a:t>
                    </a:r>
                    <a:r>
                      <a:rPr lang="en-US" sz="1000" baseline="0"/>
                      <a:t> point of the HUF</a:t>
                    </a:r>
                    <a:endParaRPr lang="en-US" sz="10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CDF-714B-B0AF-013BA2CE15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H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Sheet1!$D$4:$D$40</c:f>
              <c:numCache>
                <c:formatCode>m/d/yy</c:formatCode>
                <c:ptCount val="37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  <c:pt idx="36">
                  <c:v>45261</c:v>
                </c:pt>
              </c:numCache>
            </c:numRef>
          </c:cat>
          <c:val>
            <c:numRef>
              <c:f>Sheet1!$G$4:$G$40</c:f>
              <c:numCache>
                <c:formatCode>General</c:formatCode>
                <c:ptCount val="37"/>
                <c:pt idx="0">
                  <c:v>1</c:v>
                </c:pt>
                <c:pt idx="1">
                  <c:v>0.98133066085257314</c:v>
                </c:pt>
                <c:pt idx="2">
                  <c:v>0.99467026084805443</c:v>
                </c:pt>
                <c:pt idx="3">
                  <c:v>0.99701795259543047</c:v>
                </c:pt>
                <c:pt idx="4">
                  <c:v>0.98826128314828132</c:v>
                </c:pt>
                <c:pt idx="5">
                  <c:v>0.95397043309906948</c:v>
                </c:pt>
                <c:pt idx="6">
                  <c:v>0.9643005843286081</c:v>
                </c:pt>
                <c:pt idx="7">
                  <c:v>0.983148412632463</c:v>
                </c:pt>
                <c:pt idx="8">
                  <c:v>0.95481897464561549</c:v>
                </c:pt>
                <c:pt idx="9">
                  <c:v>0.98856337636131475</c:v>
                </c:pt>
                <c:pt idx="10">
                  <c:v>0.9881377642146546</c:v>
                </c:pt>
                <c:pt idx="11">
                  <c:v>1.0080702761910596</c:v>
                </c:pt>
                <c:pt idx="12">
                  <c:v>1.0123676218923847</c:v>
                </c:pt>
                <c:pt idx="13">
                  <c:v>0.9833021831742923</c:v>
                </c:pt>
                <c:pt idx="14">
                  <c:v>1.0092509950587871</c:v>
                </c:pt>
                <c:pt idx="15">
                  <c:v>1.0075896938215982</c:v>
                </c:pt>
                <c:pt idx="16">
                  <c:v>1.0370450452075235</c:v>
                </c:pt>
                <c:pt idx="17">
                  <c:v>1.0772615254631965</c:v>
                </c:pt>
                <c:pt idx="18">
                  <c:v>1.0810206330795815</c:v>
                </c:pt>
                <c:pt idx="19">
                  <c:v>1.1101299815250736</c:v>
                </c:pt>
                <c:pt idx="20">
                  <c:v>1.1041988210709117</c:v>
                </c:pt>
                <c:pt idx="21">
                  <c:v>1.1560578978601475</c:v>
                </c:pt>
                <c:pt idx="22">
                  <c:v>1.1281375636539339</c:v>
                </c:pt>
                <c:pt idx="23">
                  <c:v>1.1143943077484435</c:v>
                </c:pt>
                <c:pt idx="24">
                  <c:v>1.0973230866209289</c:v>
                </c:pt>
                <c:pt idx="25">
                  <c:v>1.0702402334658596</c:v>
                </c:pt>
                <c:pt idx="26">
                  <c:v>1.0367566952366658</c:v>
                </c:pt>
                <c:pt idx="27">
                  <c:v>1.04298165353231</c:v>
                </c:pt>
                <c:pt idx="28">
                  <c:v>1.0240568960231</c:v>
                </c:pt>
                <c:pt idx="29">
                  <c:v>1.0158658660222641</c:v>
                </c:pt>
                <c:pt idx="30">
                  <c:v>1.0186309569218255</c:v>
                </c:pt>
                <c:pt idx="31">
                  <c:v>1.0549922119888597</c:v>
                </c:pt>
                <c:pt idx="32">
                  <c:v>1.0414714400901759</c:v>
                </c:pt>
                <c:pt idx="33">
                  <c:v>1.0687300200237253</c:v>
                </c:pt>
                <c:pt idx="34">
                  <c:v>1.0500935301082965</c:v>
                </c:pt>
                <c:pt idx="35">
                  <c:v>1.0368637909272445</c:v>
                </c:pt>
                <c:pt idx="36">
                  <c:v>1.050931011159441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DF-714B-B0AF-013BA2CE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393200"/>
        <c:axId val="2020633456"/>
      </c:lineChart>
      <c:dateAx>
        <c:axId val="155939320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2020633456"/>
        <c:crosses val="autoZero"/>
        <c:auto val="1"/>
        <c:lblOffset val="100"/>
        <c:baseTimeUnit val="months"/>
      </c:dateAx>
      <c:valAx>
        <c:axId val="2020633456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/>
                  <a:t>Basis</a:t>
                </a:r>
                <a:r>
                  <a:rPr lang="en-GB" sz="1800" baseline="0"/>
                  <a:t> 1=364.17EUR/HUF</a:t>
                </a:r>
                <a:endParaRPr lang="en-GB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55939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Loss Function (Fisher</a:t>
            </a:r>
            <a:r>
              <a:rPr lang="en-GB" sz="2000" baseline="0"/>
              <a:t> estimates – actual exchange rates)</a:t>
            </a:r>
            <a:endParaRPr lang="en-GB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Sheet1!$AJ$4</c:f>
              <c:strCache>
                <c:ptCount val="1"/>
                <c:pt idx="0">
                  <c:v>EUR/BGN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Sheet1!$AJ$5:$AJ$39</c:f>
              <c:numCache>
                <c:formatCode>General</c:formatCode>
                <c:ptCount val="35"/>
                <c:pt idx="0">
                  <c:v>2.9044999785354797E-4</c:v>
                </c:pt>
                <c:pt idx="1">
                  <c:v>5.4759439651408393E-4</c:v>
                </c:pt>
                <c:pt idx="2">
                  <c:v>8.2529839344003264E-4</c:v>
                </c:pt>
                <c:pt idx="3">
                  <c:v>8.6564020706791922E-4</c:v>
                </c:pt>
                <c:pt idx="4">
                  <c:v>1.0696127085526586E-3</c:v>
                </c:pt>
                <c:pt idx="5">
                  <c:v>8.9202801860466252E-4</c:v>
                </c:pt>
                <c:pt idx="6">
                  <c:v>8.2404481044728861E-4</c:v>
                </c:pt>
                <c:pt idx="7">
                  <c:v>9.7538414783304717E-4</c:v>
                </c:pt>
                <c:pt idx="8">
                  <c:v>7.0697900121214907E-3</c:v>
                </c:pt>
                <c:pt idx="9">
                  <c:v>1.242219870598138E-3</c:v>
                </c:pt>
                <c:pt idx="10">
                  <c:v>1.2158657549150576E-3</c:v>
                </c:pt>
                <c:pt idx="11">
                  <c:v>1.3338060344643132E-3</c:v>
                </c:pt>
                <c:pt idx="12">
                  <c:v>2.8749521717333915E-3</c:v>
                </c:pt>
                <c:pt idx="13">
                  <c:v>3.0161694734719413E-3</c:v>
                </c:pt>
                <c:pt idx="14">
                  <c:v>1.6003591638207304E-3</c:v>
                </c:pt>
                <c:pt idx="15">
                  <c:v>1.7656698116728098E-3</c:v>
                </c:pt>
                <c:pt idx="16">
                  <c:v>1.9630816026583453E-3</c:v>
                </c:pt>
                <c:pt idx="17">
                  <c:v>1.9055869670836501E-3</c:v>
                </c:pt>
                <c:pt idx="18">
                  <c:v>1.51279762184231E-3</c:v>
                </c:pt>
                <c:pt idx="19">
                  <c:v>1.5149740342486062E-3</c:v>
                </c:pt>
                <c:pt idx="20">
                  <c:v>1.4636472365274766E-3</c:v>
                </c:pt>
                <c:pt idx="21">
                  <c:v>8.4341168727397609E-4</c:v>
                </c:pt>
                <c:pt idx="22">
                  <c:v>-2.4657368704605886E-4</c:v>
                </c:pt>
                <c:pt idx="23">
                  <c:v>-8.9020083086444046E-4</c:v>
                </c:pt>
                <c:pt idx="24">
                  <c:v>9.3086858359958669E-5</c:v>
                </c:pt>
                <c:pt idx="25">
                  <c:v>-2.5723928546839137E-3</c:v>
                </c:pt>
                <c:pt idx="26">
                  <c:v>-2.8469952278437072E-3</c:v>
                </c:pt>
                <c:pt idx="27">
                  <c:v>-2.4186879615611945E-3</c:v>
                </c:pt>
                <c:pt idx="28">
                  <c:v>-1.1421297364347938E-3</c:v>
                </c:pt>
                <c:pt idx="29">
                  <c:v>-4.3766297027414414E-4</c:v>
                </c:pt>
                <c:pt idx="30">
                  <c:v>1.6342237541947524E-3</c:v>
                </c:pt>
                <c:pt idx="31">
                  <c:v>1.0675641859330121E-3</c:v>
                </c:pt>
                <c:pt idx="32">
                  <c:v>1.6685357470205275E-3</c:v>
                </c:pt>
                <c:pt idx="33">
                  <c:v>2.208046944531139E-3</c:v>
                </c:pt>
                <c:pt idx="34">
                  <c:v>2.5701834026563564E-3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1-504B-A39A-F3C924186DB5}"/>
            </c:ext>
          </c:extLst>
        </c:ser>
        <c:ser>
          <c:idx val="1"/>
          <c:order val="1"/>
          <c:tx>
            <c:strRef>
              <c:f>Sheet1!$AK$4</c:f>
              <c:strCache>
                <c:ptCount val="1"/>
                <c:pt idx="0">
                  <c:v>EUR/CZK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Sheet1!$AK$5:$AK$39</c:f>
              <c:numCache>
                <c:formatCode>General</c:formatCode>
                <c:ptCount val="35"/>
                <c:pt idx="0">
                  <c:v>8.4949001574414762E-3</c:v>
                </c:pt>
                <c:pt idx="1">
                  <c:v>4.9501371994155052E-3</c:v>
                </c:pt>
                <c:pt idx="2">
                  <c:v>6.4082425763742901E-3</c:v>
                </c:pt>
                <c:pt idx="3">
                  <c:v>1.957304854171682E-2</c:v>
                </c:pt>
                <c:pt idx="4">
                  <c:v>3.5917357532253336E-2</c:v>
                </c:pt>
                <c:pt idx="5">
                  <c:v>3.5787864068478004E-2</c:v>
                </c:pt>
                <c:pt idx="6">
                  <c:v>4.2371014926066874E-2</c:v>
                </c:pt>
                <c:pt idx="7">
                  <c:v>4.0947426597612635E-2</c:v>
                </c:pt>
                <c:pt idx="8">
                  <c:v>4.4575466536784236E-2</c:v>
                </c:pt>
                <c:pt idx="9">
                  <c:v>4.0559174744484339E-2</c:v>
                </c:pt>
                <c:pt idx="10">
                  <c:v>4.0261471875103316E-2</c:v>
                </c:pt>
                <c:pt idx="11">
                  <c:v>7.4772607782071177E-2</c:v>
                </c:pt>
                <c:pt idx="12">
                  <c:v>8.7531544396624139E-2</c:v>
                </c:pt>
                <c:pt idx="13">
                  <c:v>6.8770362881583558E-2</c:v>
                </c:pt>
                <c:pt idx="14">
                  <c:v>9.247796961875332E-2</c:v>
                </c:pt>
                <c:pt idx="15">
                  <c:v>9.2074696894504315E-2</c:v>
                </c:pt>
                <c:pt idx="16">
                  <c:v>9.038715607362624E-2</c:v>
                </c:pt>
                <c:pt idx="17">
                  <c:v>8.722699258082578E-2</c:v>
                </c:pt>
                <c:pt idx="18">
                  <c:v>9.4120094646356955E-2</c:v>
                </c:pt>
                <c:pt idx="19">
                  <c:v>9.8878218957681674E-2</c:v>
                </c:pt>
                <c:pt idx="20">
                  <c:v>0.10320306771902088</c:v>
                </c:pt>
                <c:pt idx="21">
                  <c:v>0.10417391710837298</c:v>
                </c:pt>
                <c:pt idx="22">
                  <c:v>0.11244829486231378</c:v>
                </c:pt>
                <c:pt idx="23">
                  <c:v>0.12277921222127541</c:v>
                </c:pt>
                <c:pt idx="24">
                  <c:v>0.13699153800780306</c:v>
                </c:pt>
                <c:pt idx="25">
                  <c:v>0.14436643367468005</c:v>
                </c:pt>
                <c:pt idx="26">
                  <c:v>0.14993586827875816</c:v>
                </c:pt>
                <c:pt idx="27">
                  <c:v>0.1528116326250788</c:v>
                </c:pt>
                <c:pt idx="28">
                  <c:v>0.14595387210249355</c:v>
                </c:pt>
                <c:pt idx="29">
                  <c:v>0.1477492302161465</c:v>
                </c:pt>
                <c:pt idx="30">
                  <c:v>0.13764714744287743</c:v>
                </c:pt>
                <c:pt idx="31">
                  <c:v>0.13468678057369299</c:v>
                </c:pt>
                <c:pt idx="32">
                  <c:v>0.12377498412387988</c:v>
                </c:pt>
                <c:pt idx="33">
                  <c:v>0.1186797337801736</c:v>
                </c:pt>
                <c:pt idx="34">
                  <c:v>0.13068597440951435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1-504B-A39A-F3C924186DB5}"/>
            </c:ext>
          </c:extLst>
        </c:ser>
        <c:ser>
          <c:idx val="2"/>
          <c:order val="2"/>
          <c:tx>
            <c:strRef>
              <c:f>Sheet1!$AL$4</c:f>
              <c:strCache>
                <c:ptCount val="1"/>
                <c:pt idx="0">
                  <c:v>EUR/DKK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Sheet1!$AL$5:$AL$39</c:f>
              <c:numCache>
                <c:formatCode>General</c:formatCode>
                <c:ptCount val="35"/>
                <c:pt idx="0">
                  <c:v>1.2481760392878627E-2</c:v>
                </c:pt>
                <c:pt idx="1">
                  <c:v>1.2954609465371192E-2</c:v>
                </c:pt>
                <c:pt idx="2">
                  <c:v>-1.6790561556488059E-2</c:v>
                </c:pt>
                <c:pt idx="3">
                  <c:v>2.2819250913600486E-3</c:v>
                </c:pt>
                <c:pt idx="4">
                  <c:v>2.0586515675211747E-2</c:v>
                </c:pt>
                <c:pt idx="5">
                  <c:v>1.2607158337733848E-2</c:v>
                </c:pt>
                <c:pt idx="6">
                  <c:v>1.9669908452998319E-3</c:v>
                </c:pt>
                <c:pt idx="7">
                  <c:v>4.0686037689738885E-3</c:v>
                </c:pt>
                <c:pt idx="8">
                  <c:v>-1.2166085694690576E-2</c:v>
                </c:pt>
                <c:pt idx="9">
                  <c:v>-7.7844240524492792E-3</c:v>
                </c:pt>
                <c:pt idx="10">
                  <c:v>-2.3141061362939142E-2</c:v>
                </c:pt>
                <c:pt idx="11">
                  <c:v>-3.7956789662682011E-3</c:v>
                </c:pt>
                <c:pt idx="12">
                  <c:v>-1.9196904719132046E-3</c:v>
                </c:pt>
                <c:pt idx="13">
                  <c:v>-2.8057357007049699E-2</c:v>
                </c:pt>
                <c:pt idx="14">
                  <c:v>-1.5347676592872173E-2</c:v>
                </c:pt>
                <c:pt idx="15">
                  <c:v>-2.3131117252539246E-2</c:v>
                </c:pt>
                <c:pt idx="16">
                  <c:v>-3.5017371451607771E-3</c:v>
                </c:pt>
                <c:pt idx="17">
                  <c:v>-2.1720558126822609E-2</c:v>
                </c:pt>
                <c:pt idx="18">
                  <c:v>-3.7962097497345693E-2</c:v>
                </c:pt>
                <c:pt idx="19">
                  <c:v>-3.4694095619240972E-2</c:v>
                </c:pt>
                <c:pt idx="20">
                  <c:v>-6.3327232753341733E-2</c:v>
                </c:pt>
                <c:pt idx="21">
                  <c:v>-3.4224603271708842E-2</c:v>
                </c:pt>
                <c:pt idx="22">
                  <c:v>-2.5104173718145328E-2</c:v>
                </c:pt>
                <c:pt idx="23">
                  <c:v>-3.0204898017402781E-2</c:v>
                </c:pt>
                <c:pt idx="24">
                  <c:v>-3.3586227058194029E-2</c:v>
                </c:pt>
                <c:pt idx="25">
                  <c:v>-3.4547388789392675E-2</c:v>
                </c:pt>
                <c:pt idx="26">
                  <c:v>-2.6165185555357184E-2</c:v>
                </c:pt>
                <c:pt idx="27">
                  <c:v>-1.7282757583333197E-2</c:v>
                </c:pt>
                <c:pt idx="28">
                  <c:v>2.6217536608653669E-3</c:v>
                </c:pt>
                <c:pt idx="29">
                  <c:v>2.2509310612885525E-2</c:v>
                </c:pt>
                <c:pt idx="30">
                  <c:v>2.8703344995082869E-2</c:v>
                </c:pt>
                <c:pt idx="31">
                  <c:v>1.6211638762278269E-2</c:v>
                </c:pt>
                <c:pt idx="32">
                  <c:v>-1.9081341352252257E-2</c:v>
                </c:pt>
                <c:pt idx="33">
                  <c:v>2.0525321513622852E-2</c:v>
                </c:pt>
                <c:pt idx="34">
                  <c:v>4.313775895395433E-2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21-504B-A39A-F3C924186DB5}"/>
            </c:ext>
          </c:extLst>
        </c:ser>
        <c:ser>
          <c:idx val="3"/>
          <c:order val="3"/>
          <c:tx>
            <c:strRef>
              <c:f>Sheet1!$AM$4</c:f>
              <c:strCache>
                <c:ptCount val="1"/>
                <c:pt idx="0">
                  <c:v>EUR/HUF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0"/>
              <c:layout>
                <c:manualLayout>
                  <c:x val="-0.13934620931868097"/>
                  <c:y val="6.3021817835249447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EUR/HUF</a:t>
                    </a:r>
                    <a:r>
                      <a:rPr lang="en-US" sz="1200" baseline="0"/>
                      <a:t> at historical heights</a:t>
                    </a:r>
                    <a:endParaRPr lang="en-US" sz="1200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D21-504B-A39A-F3C924186D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H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Sheet1!$AM$5:$AM$39</c:f>
              <c:numCache>
                <c:formatCode>General</c:formatCode>
                <c:ptCount val="35"/>
                <c:pt idx="0">
                  <c:v>2.0635640561936563E-2</c:v>
                </c:pt>
                <c:pt idx="1">
                  <c:v>9.2817979040049625E-3</c:v>
                </c:pt>
                <c:pt idx="2">
                  <c:v>8.9951264110746942E-3</c:v>
                </c:pt>
                <c:pt idx="3">
                  <c:v>1.9946222435611061E-2</c:v>
                </c:pt>
                <c:pt idx="4">
                  <c:v>5.6402409105750007E-2</c:v>
                </c:pt>
                <c:pt idx="5">
                  <c:v>4.8321047040313925E-2</c:v>
                </c:pt>
                <c:pt idx="6">
                  <c:v>3.1712124885231008E-2</c:v>
                </c:pt>
                <c:pt idx="7">
                  <c:v>6.2387496256764097E-2</c:v>
                </c:pt>
                <c:pt idx="8">
                  <c:v>3.1096210105345912E-2</c:v>
                </c:pt>
                <c:pt idx="9">
                  <c:v>3.4068145034684805E-2</c:v>
                </c:pt>
                <c:pt idx="10">
                  <c:v>1.703922843778316E-2</c:v>
                </c:pt>
                <c:pt idx="11">
                  <c:v>1.6009919650617155E-2</c:v>
                </c:pt>
                <c:pt idx="12">
                  <c:v>4.8660375174251591E-2</c:v>
                </c:pt>
                <c:pt idx="13">
                  <c:v>2.6332557937829515E-2</c:v>
                </c:pt>
                <c:pt idx="14">
                  <c:v>3.1432985654119561E-2</c:v>
                </c:pt>
                <c:pt idx="15">
                  <c:v>6.1988407187758554E-3</c:v>
                </c:pt>
                <c:pt idx="16">
                  <c:v>-2.965178096774812E-2</c:v>
                </c:pt>
                <c:pt idx="17">
                  <c:v>-2.8794119133531471E-2</c:v>
                </c:pt>
                <c:pt idx="18">
                  <c:v>-5.3135990349717721E-2</c:v>
                </c:pt>
                <c:pt idx="19">
                  <c:v>-4.1662955161892112E-2</c:v>
                </c:pt>
                <c:pt idx="20">
                  <c:v>-8.8161538641957193E-2</c:v>
                </c:pt>
                <c:pt idx="21">
                  <c:v>-5.4662913723962925E-2</c:v>
                </c:pt>
                <c:pt idx="22">
                  <c:v>-3.481743038070606E-2</c:v>
                </c:pt>
                <c:pt idx="23">
                  <c:v>-1.2648856995666646E-2</c:v>
                </c:pt>
                <c:pt idx="24">
                  <c:v>1.938740930792604E-2</c:v>
                </c:pt>
                <c:pt idx="25">
                  <c:v>5.7051726185495477E-2</c:v>
                </c:pt>
                <c:pt idx="26">
                  <c:v>5.528857553967903E-2</c:v>
                </c:pt>
                <c:pt idx="27">
                  <c:v>7.8929460983794275E-2</c:v>
                </c:pt>
                <c:pt idx="28">
                  <c:v>9.1713057372827755E-2</c:v>
                </c:pt>
                <c:pt idx="29">
                  <c:v>9.3061910896659938E-2</c:v>
                </c:pt>
                <c:pt idx="30">
                  <c:v>6.0364328942511758E-2</c:v>
                </c:pt>
                <c:pt idx="31">
                  <c:v>7.7392422656314075E-2</c:v>
                </c:pt>
                <c:pt idx="32">
                  <c:v>5.3841317862523219E-2</c:v>
                </c:pt>
                <c:pt idx="33">
                  <c:v>7.5790358778105915E-2</c:v>
                </c:pt>
                <c:pt idx="34">
                  <c:v>9.2536987654608938E-2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21-504B-A39A-F3C924186DB5}"/>
            </c:ext>
          </c:extLst>
        </c:ser>
        <c:ser>
          <c:idx val="4"/>
          <c:order val="4"/>
          <c:tx>
            <c:strRef>
              <c:f>Sheet1!$AN$4</c:f>
              <c:strCache>
                <c:ptCount val="1"/>
                <c:pt idx="0">
                  <c:v>EUR/PLN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Sheet1!$AN$5:$AN$39</c:f>
              <c:numCache>
                <c:formatCode>General</c:formatCode>
                <c:ptCount val="35"/>
                <c:pt idx="0">
                  <c:v>1.3943237483256987E-2</c:v>
                </c:pt>
                <c:pt idx="1">
                  <c:v>1.577137481891655E-2</c:v>
                </c:pt>
                <c:pt idx="2">
                  <c:v>-1.2652295011624348E-2</c:v>
                </c:pt>
                <c:pt idx="3">
                  <c:v>7.7156569806170472E-3</c:v>
                </c:pt>
                <c:pt idx="4">
                  <c:v>2.7308502824383907E-2</c:v>
                </c:pt>
                <c:pt idx="5">
                  <c:v>2.0749211262384604E-2</c:v>
                </c:pt>
                <c:pt idx="6">
                  <c:v>1.1498361081017983E-2</c:v>
                </c:pt>
                <c:pt idx="7">
                  <c:v>1.4984837874775669E-2</c:v>
                </c:pt>
                <c:pt idx="8">
                  <c:v>2.2126342046013825E-4</c:v>
                </c:pt>
                <c:pt idx="9">
                  <c:v>6.1733065364224515E-3</c:v>
                </c:pt>
                <c:pt idx="10">
                  <c:v>-7.0758279109583988E-3</c:v>
                </c:pt>
                <c:pt idx="11">
                  <c:v>1.486039024156538E-2</c:v>
                </c:pt>
                <c:pt idx="12">
                  <c:v>1.9598145127503575E-2</c:v>
                </c:pt>
                <c:pt idx="13">
                  <c:v>-3.299810278241111E-3</c:v>
                </c:pt>
                <c:pt idx="14">
                  <c:v>1.2318422090167758E-2</c:v>
                </c:pt>
                <c:pt idx="15">
                  <c:v>8.0789352089338795E-3</c:v>
                </c:pt>
                <c:pt idx="16">
                  <c:v>3.178351818628844E-2</c:v>
                </c:pt>
                <c:pt idx="17">
                  <c:v>1.7982875997721415E-2</c:v>
                </c:pt>
                <c:pt idx="18">
                  <c:v>6.1196187397694057E-3</c:v>
                </c:pt>
                <c:pt idx="19">
                  <c:v>1.3371067783655377E-2</c:v>
                </c:pt>
                <c:pt idx="20">
                  <c:v>-1.1560367300098573E-2</c:v>
                </c:pt>
                <c:pt idx="21">
                  <c:v>2.0948062872680806E-2</c:v>
                </c:pt>
                <c:pt idx="22">
                  <c:v>3.440474894337453E-2</c:v>
                </c:pt>
                <c:pt idx="23">
                  <c:v>3.3366319478738804E-2</c:v>
                </c:pt>
                <c:pt idx="24">
                  <c:v>3.3610388580040063E-2</c:v>
                </c:pt>
                <c:pt idx="25">
                  <c:v>3.5674148644226022E-2</c:v>
                </c:pt>
                <c:pt idx="26">
                  <c:v>4.7115868893865098E-2</c:v>
                </c:pt>
                <c:pt idx="27">
                  <c:v>5.9028744024436808E-2</c:v>
                </c:pt>
                <c:pt idx="28">
                  <c:v>8.187176612250846E-2</c:v>
                </c:pt>
                <c:pt idx="29">
                  <c:v>0.10463319850577568</c:v>
                </c:pt>
                <c:pt idx="30">
                  <c:v>0.11366803352775412</c:v>
                </c:pt>
                <c:pt idx="31">
                  <c:v>0.1035966934041066</c:v>
                </c:pt>
                <c:pt idx="32">
                  <c:v>7.0708497569592854E-2</c:v>
                </c:pt>
                <c:pt idx="33">
                  <c:v>0.11274197824656718</c:v>
                </c:pt>
                <c:pt idx="34">
                  <c:v>0.13772838020262523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21-504B-A39A-F3C924186DB5}"/>
            </c:ext>
          </c:extLst>
        </c:ser>
        <c:ser>
          <c:idx val="5"/>
          <c:order val="5"/>
          <c:tx>
            <c:strRef>
              <c:f>Sheet1!$AO$4</c:f>
              <c:strCache>
                <c:ptCount val="1"/>
                <c:pt idx="0">
                  <c:v>EUR/RON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Sheet1!$AO$5:$AO$39</c:f>
              <c:numCache>
                <c:formatCode>General</c:formatCode>
                <c:ptCount val="35"/>
                <c:pt idx="0">
                  <c:v>1.5740512390818306E-3</c:v>
                </c:pt>
                <c:pt idx="1">
                  <c:v>3.7024805257410698E-3</c:v>
                </c:pt>
                <c:pt idx="2">
                  <c:v>-3.5692852258584207E-3</c:v>
                </c:pt>
                <c:pt idx="3">
                  <c:v>-2.2528208808088035E-3</c:v>
                </c:pt>
                <c:pt idx="4">
                  <c:v>1.45673579344896E-3</c:v>
                </c:pt>
                <c:pt idx="5">
                  <c:v>2.2210593754936614E-3</c:v>
                </c:pt>
                <c:pt idx="6">
                  <c:v>6.3627008291606835E-3</c:v>
                </c:pt>
                <c:pt idx="7">
                  <c:v>5.5573410848348548E-3</c:v>
                </c:pt>
                <c:pt idx="8">
                  <c:v>6.5427325248077484E-3</c:v>
                </c:pt>
                <c:pt idx="9">
                  <c:v>9.4693077012981686E-3</c:v>
                </c:pt>
                <c:pt idx="10">
                  <c:v>1.3029739501192461E-2</c:v>
                </c:pt>
                <c:pt idx="11">
                  <c:v>1.760028712732753E-2</c:v>
                </c:pt>
                <c:pt idx="12">
                  <c:v>2.2332995897050179E-2</c:v>
                </c:pt>
                <c:pt idx="13">
                  <c:v>2.6110684078356483E-2</c:v>
                </c:pt>
                <c:pt idx="14">
                  <c:v>3.0370589812678705E-2</c:v>
                </c:pt>
                <c:pt idx="15">
                  <c:v>3.4853378964141868E-2</c:v>
                </c:pt>
                <c:pt idx="16">
                  <c:v>3.9370890883074106E-2</c:v>
                </c:pt>
                <c:pt idx="17">
                  <c:v>4.4979510969171299E-2</c:v>
                </c:pt>
                <c:pt idx="18">
                  <c:v>5.2035339553785365E-2</c:v>
                </c:pt>
                <c:pt idx="19">
                  <c:v>7.3467994917248425E-2</c:v>
                </c:pt>
                <c:pt idx="20">
                  <c:v>6.0730688642159469E-2</c:v>
                </c:pt>
                <c:pt idx="21">
                  <c:v>7.1520469568381317E-2</c:v>
                </c:pt>
                <c:pt idx="22">
                  <c:v>7.7836143929183033E-2</c:v>
                </c:pt>
                <c:pt idx="23">
                  <c:v>7.5336969777154872E-2</c:v>
                </c:pt>
                <c:pt idx="24">
                  <c:v>8.6320247788904014E-2</c:v>
                </c:pt>
                <c:pt idx="25">
                  <c:v>9.0126844289503127E-2</c:v>
                </c:pt>
                <c:pt idx="26">
                  <c:v>8.7600478717837937E-2</c:v>
                </c:pt>
                <c:pt idx="27">
                  <c:v>9.3203769023293637E-2</c:v>
                </c:pt>
                <c:pt idx="28">
                  <c:v>8.9861546702679318E-2</c:v>
                </c:pt>
                <c:pt idx="29">
                  <c:v>9.3413480554280559E-2</c:v>
                </c:pt>
                <c:pt idx="30">
                  <c:v>0.1018075524240547</c:v>
                </c:pt>
                <c:pt idx="31">
                  <c:v>0.102600074530665</c:v>
                </c:pt>
                <c:pt idx="32">
                  <c:v>9.9241054852303723E-2</c:v>
                </c:pt>
                <c:pt idx="33">
                  <c:v>0.10433154449959114</c:v>
                </c:pt>
                <c:pt idx="34">
                  <c:v>0.10629149505678481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21-504B-A39A-F3C924186DB5}"/>
            </c:ext>
          </c:extLst>
        </c:ser>
        <c:ser>
          <c:idx val="6"/>
          <c:order val="6"/>
          <c:tx>
            <c:strRef>
              <c:f>Sheet1!$AP$4</c:f>
              <c:strCache>
                <c:ptCount val="1"/>
                <c:pt idx="0">
                  <c:v>EUR/SEK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Sheet1!$D$4:$D$39</c:f>
              <c:numCache>
                <c:formatCode>m/d/yy</c:formatCode>
                <c:ptCount val="36"/>
                <c:pt idx="0">
                  <c:v>44166</c:v>
                </c:pt>
                <c:pt idx="1">
                  <c:v>44197</c:v>
                </c:pt>
                <c:pt idx="2">
                  <c:v>44228</c:v>
                </c:pt>
                <c:pt idx="3">
                  <c:v>44256</c:v>
                </c:pt>
                <c:pt idx="4">
                  <c:v>44287</c:v>
                </c:pt>
                <c:pt idx="5">
                  <c:v>44317</c:v>
                </c:pt>
                <c:pt idx="6">
                  <c:v>44348</c:v>
                </c:pt>
                <c:pt idx="7">
                  <c:v>44378</c:v>
                </c:pt>
                <c:pt idx="8">
                  <c:v>44409</c:v>
                </c:pt>
                <c:pt idx="9">
                  <c:v>44440</c:v>
                </c:pt>
                <c:pt idx="10">
                  <c:v>44470</c:v>
                </c:pt>
                <c:pt idx="11">
                  <c:v>44501</c:v>
                </c:pt>
                <c:pt idx="12">
                  <c:v>44531</c:v>
                </c:pt>
                <c:pt idx="13">
                  <c:v>44562</c:v>
                </c:pt>
                <c:pt idx="14">
                  <c:v>44593</c:v>
                </c:pt>
                <c:pt idx="15">
                  <c:v>44621</c:v>
                </c:pt>
                <c:pt idx="16">
                  <c:v>44652</c:v>
                </c:pt>
                <c:pt idx="17">
                  <c:v>44682</c:v>
                </c:pt>
                <c:pt idx="18">
                  <c:v>44713</c:v>
                </c:pt>
                <c:pt idx="19">
                  <c:v>44743</c:v>
                </c:pt>
                <c:pt idx="20">
                  <c:v>44774</c:v>
                </c:pt>
                <c:pt idx="21">
                  <c:v>44805</c:v>
                </c:pt>
                <c:pt idx="22">
                  <c:v>44835</c:v>
                </c:pt>
                <c:pt idx="23">
                  <c:v>44866</c:v>
                </c:pt>
                <c:pt idx="24">
                  <c:v>44896</c:v>
                </c:pt>
                <c:pt idx="25">
                  <c:v>44927</c:v>
                </c:pt>
                <c:pt idx="26">
                  <c:v>44958</c:v>
                </c:pt>
                <c:pt idx="27">
                  <c:v>44986</c:v>
                </c:pt>
                <c:pt idx="28">
                  <c:v>45017</c:v>
                </c:pt>
                <c:pt idx="29">
                  <c:v>45047</c:v>
                </c:pt>
                <c:pt idx="30">
                  <c:v>45078</c:v>
                </c:pt>
                <c:pt idx="31">
                  <c:v>45108</c:v>
                </c:pt>
                <c:pt idx="32">
                  <c:v>45139</c:v>
                </c:pt>
                <c:pt idx="33">
                  <c:v>45170</c:v>
                </c:pt>
                <c:pt idx="34">
                  <c:v>45200</c:v>
                </c:pt>
                <c:pt idx="35">
                  <c:v>45231</c:v>
                </c:pt>
              </c:numCache>
            </c:numRef>
          </c:cat>
          <c:val>
            <c:numRef>
              <c:f>Sheet1!$AP$5:$AP$39</c:f>
              <c:numCache>
                <c:formatCode>General</c:formatCode>
                <c:ptCount val="35"/>
                <c:pt idx="0">
                  <c:v>1.015120798209046E-2</c:v>
                </c:pt>
                <c:pt idx="1">
                  <c:v>-8.2324044344690428E-3</c:v>
                </c:pt>
                <c:pt idx="2">
                  <c:v>-1.5057223372697104E-2</c:v>
                </c:pt>
                <c:pt idx="3">
                  <c:v>-5.608513401131221E-3</c:v>
                </c:pt>
                <c:pt idx="4">
                  <c:v>-3.7052557200927261E-3</c:v>
                </c:pt>
                <c:pt idx="5">
                  <c:v>-4.7973561707448376E-3</c:v>
                </c:pt>
                <c:pt idx="6">
                  <c:v>-8.5062652160461383E-3</c:v>
                </c:pt>
                <c:pt idx="7">
                  <c:v>-7.7993824593156624E-3</c:v>
                </c:pt>
                <c:pt idx="8">
                  <c:v>-9.8092441336670166E-3</c:v>
                </c:pt>
                <c:pt idx="9">
                  <c:v>1.7930045640267234E-2</c:v>
                </c:pt>
                <c:pt idx="10">
                  <c:v>-1.3069792951305503E-2</c:v>
                </c:pt>
                <c:pt idx="11">
                  <c:v>-1.4043113494671466E-2</c:v>
                </c:pt>
                <c:pt idx="12">
                  <c:v>-4.0265549712788173E-2</c:v>
                </c:pt>
                <c:pt idx="13">
                  <c:v>-5.5129666841383873E-2</c:v>
                </c:pt>
                <c:pt idx="14">
                  <c:v>-2.230671860677913E-2</c:v>
                </c:pt>
                <c:pt idx="15">
                  <c:v>-2.5891810910319668E-2</c:v>
                </c:pt>
                <c:pt idx="16">
                  <c:v>-3.9453986798614116E-2</c:v>
                </c:pt>
                <c:pt idx="17">
                  <c:v>-5.843385543216284E-2</c:v>
                </c:pt>
                <c:pt idx="18">
                  <c:v>-2.5284346885325881E-2</c:v>
                </c:pt>
                <c:pt idx="19">
                  <c:v>-5.9451721560791704E-2</c:v>
                </c:pt>
                <c:pt idx="20">
                  <c:v>-8.4760217717101405E-2</c:v>
                </c:pt>
                <c:pt idx="21">
                  <c:v>-8.2128446299392754E-2</c:v>
                </c:pt>
                <c:pt idx="22">
                  <c:v>-8.4811008069420435E-2</c:v>
                </c:pt>
                <c:pt idx="23">
                  <c:v>-0.10713516692307745</c:v>
                </c:pt>
                <c:pt idx="24">
                  <c:v>-0.1199561159424698</c:v>
                </c:pt>
                <c:pt idx="25">
                  <c:v>-9.475159691056767E-2</c:v>
                </c:pt>
                <c:pt idx="26">
                  <c:v>-0.12268712547575256</c:v>
                </c:pt>
                <c:pt idx="27">
                  <c:v>-0.12479708810773193</c:v>
                </c:pt>
                <c:pt idx="28">
                  <c:v>-0.15992822010800523</c:v>
                </c:pt>
                <c:pt idx="29">
                  <c:v>-0.1751750852483327</c:v>
                </c:pt>
                <c:pt idx="30">
                  <c:v>-0.15636386434238503</c:v>
                </c:pt>
                <c:pt idx="31">
                  <c:v>-0.1798870023243383</c:v>
                </c:pt>
                <c:pt idx="32">
                  <c:v>-0.15012839385811916</c:v>
                </c:pt>
                <c:pt idx="33">
                  <c:v>-0.17925912985110892</c:v>
                </c:pt>
                <c:pt idx="34">
                  <c:v>-0.13292473204258659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21-504B-A39A-F3C924186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28703"/>
        <c:axId val="1466353024"/>
      </c:lineChart>
      <c:dateAx>
        <c:axId val="15172870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466353024"/>
        <c:crosses val="autoZero"/>
        <c:auto val="1"/>
        <c:lblOffset val="100"/>
        <c:baseTimeUnit val="months"/>
      </c:dateAx>
      <c:valAx>
        <c:axId val="14663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U"/>
          </a:p>
        </c:txPr>
        <c:crossAx val="15172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454091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340111</xdr:colOff>
      <xdr:row>125</xdr:row>
      <xdr:rowOff>92652</xdr:rowOff>
    </xdr:from>
    <xdr:to>
      <xdr:col>19</xdr:col>
      <xdr:colOff>562361</xdr:colOff>
      <xdr:row>192</xdr:row>
      <xdr:rowOff>15394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393238-8802-4533-81F5-28EACA496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211666</xdr:colOff>
      <xdr:row>101</xdr:row>
      <xdr:rowOff>74084</xdr:rowOff>
    </xdr:from>
    <xdr:to>
      <xdr:col>18</xdr:col>
      <xdr:colOff>761999</xdr:colOff>
      <xdr:row>152</xdr:row>
      <xdr:rowOff>74083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A943F2-10EF-843D-B10F-CCFC543DC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703034</xdr:colOff>
      <xdr:row>43</xdr:row>
      <xdr:rowOff>88901</xdr:rowOff>
    </xdr:from>
    <xdr:to>
      <xdr:col>11</xdr:col>
      <xdr:colOff>498927</xdr:colOff>
      <xdr:row>67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FB114-84B9-FF10-BD95-932F63AE5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317500</xdr:colOff>
      <xdr:row>6</xdr:row>
      <xdr:rowOff>90714</xdr:rowOff>
    </xdr:from>
    <xdr:to>
      <xdr:col>33</xdr:col>
      <xdr:colOff>27214</xdr:colOff>
      <xdr:row>40</xdr:row>
      <xdr:rowOff>145143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422BA0-1D37-D1F6-84ED-D69EB93D2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prc_hicp_manr__custom_8991509/default/table" TargetMode="External"/><Relationship Id="rId1" Type="http://schemas.openxmlformats.org/officeDocument/2006/relationships/hyperlink" Target="https://ec.europa.eu/eurostat/databrowser/product/page/prc_hicp_manr__custom_899150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10.5" customWidth="1"/>
    <col min="3" max="3" width="17.1640625" customWidth="1"/>
    <col min="4" max="4" width="17.83203125" customWidth="1"/>
    <col min="5" max="5" width="64.8320312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24" t="s">
        <v>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6</v>
      </c>
    </row>
    <row r="13" spans="1:15" x14ac:dyDescent="0.2">
      <c r="B13" s="1" t="s">
        <v>8</v>
      </c>
    </row>
    <row r="14" spans="1:15" x14ac:dyDescent="0.2">
      <c r="C14" s="2" t="s">
        <v>9</v>
      </c>
    </row>
    <row r="15" spans="1:15" x14ac:dyDescent="0.2">
      <c r="B15" s="10" t="s">
        <v>10</v>
      </c>
      <c r="C15" s="10" t="s">
        <v>11</v>
      </c>
      <c r="D15" s="10" t="s">
        <v>12</v>
      </c>
      <c r="E15" s="10" t="s">
        <v>13</v>
      </c>
    </row>
    <row r="16" spans="1:15" x14ac:dyDescent="0.2">
      <c r="B16" s="14" t="s">
        <v>14</v>
      </c>
      <c r="C16" s="2" t="s">
        <v>15</v>
      </c>
      <c r="D16" s="2" t="s">
        <v>16</v>
      </c>
      <c r="E16" s="2" t="s">
        <v>17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18</v>
      </c>
    </row>
    <row r="2" spans="1:3" x14ac:dyDescent="0.2">
      <c r="B2" s="17" t="s">
        <v>19</v>
      </c>
      <c r="C2" s="17" t="s">
        <v>20</v>
      </c>
    </row>
    <row r="3" spans="1:3" x14ac:dyDescent="0.2">
      <c r="B3" s="18" t="s">
        <v>21</v>
      </c>
      <c r="C3" s="18" t="s">
        <v>21</v>
      </c>
    </row>
    <row r="4" spans="1:3" x14ac:dyDescent="0.2">
      <c r="B4" s="2" t="s">
        <v>11</v>
      </c>
      <c r="C4" s="2" t="s">
        <v>15</v>
      </c>
    </row>
    <row r="5" spans="1:3" x14ac:dyDescent="0.2">
      <c r="B5" s="12" t="s">
        <v>12</v>
      </c>
      <c r="C5" s="12" t="s">
        <v>16</v>
      </c>
    </row>
    <row r="6" spans="1:3" x14ac:dyDescent="0.2">
      <c r="B6" s="2" t="s">
        <v>13</v>
      </c>
      <c r="C6" s="2" t="s">
        <v>17</v>
      </c>
    </row>
    <row r="7" spans="1:3" x14ac:dyDescent="0.2">
      <c r="B7" s="12" t="s">
        <v>22</v>
      </c>
      <c r="C7" s="12" t="s">
        <v>23</v>
      </c>
    </row>
    <row r="8" spans="1:3" x14ac:dyDescent="0.2">
      <c r="B8" s="2" t="s">
        <v>22</v>
      </c>
      <c r="C8" s="2" t="s">
        <v>24</v>
      </c>
    </row>
    <row r="9" spans="1:3" x14ac:dyDescent="0.2">
      <c r="B9" s="12" t="s">
        <v>22</v>
      </c>
      <c r="C9" s="12" t="s">
        <v>25</v>
      </c>
    </row>
    <row r="10" spans="1:3" x14ac:dyDescent="0.2">
      <c r="B10" s="2" t="s">
        <v>22</v>
      </c>
      <c r="C10" s="2" t="s">
        <v>26</v>
      </c>
    </row>
    <row r="11" spans="1:3" x14ac:dyDescent="0.2">
      <c r="B11" s="12" t="s">
        <v>22</v>
      </c>
      <c r="C11" s="12" t="s">
        <v>27</v>
      </c>
    </row>
    <row r="12" spans="1:3" x14ac:dyDescent="0.2">
      <c r="B12" s="2" t="s">
        <v>22</v>
      </c>
      <c r="C12" s="2" t="s">
        <v>28</v>
      </c>
    </row>
    <row r="13" spans="1:3" x14ac:dyDescent="0.2">
      <c r="B13" s="12" t="s">
        <v>22</v>
      </c>
      <c r="C13" s="12" t="s">
        <v>29</v>
      </c>
    </row>
    <row r="14" spans="1:3" x14ac:dyDescent="0.2">
      <c r="B14" s="2" t="s">
        <v>22</v>
      </c>
      <c r="C14" s="2" t="s">
        <v>30</v>
      </c>
    </row>
    <row r="15" spans="1:3" x14ac:dyDescent="0.2">
      <c r="B15" s="12" t="s">
        <v>31</v>
      </c>
      <c r="C15" s="12" t="s">
        <v>32</v>
      </c>
    </row>
    <row r="16" spans="1:3" x14ac:dyDescent="0.2">
      <c r="B16" s="2" t="s">
        <v>31</v>
      </c>
      <c r="C16" s="2" t="s">
        <v>33</v>
      </c>
    </row>
    <row r="17" spans="2:3" x14ac:dyDescent="0.2">
      <c r="B17" s="12" t="s">
        <v>31</v>
      </c>
      <c r="C17" s="12" t="s">
        <v>34</v>
      </c>
    </row>
    <row r="18" spans="2:3" x14ac:dyDescent="0.2">
      <c r="B18" s="2" t="s">
        <v>31</v>
      </c>
      <c r="C18" s="2" t="s">
        <v>35</v>
      </c>
    </row>
    <row r="19" spans="2:3" x14ac:dyDescent="0.2">
      <c r="B19" s="12" t="s">
        <v>31</v>
      </c>
      <c r="C19" s="12" t="s">
        <v>36</v>
      </c>
    </row>
    <row r="20" spans="2:3" x14ac:dyDescent="0.2">
      <c r="B20" s="2" t="s">
        <v>31</v>
      </c>
      <c r="C20" s="2" t="s">
        <v>37</v>
      </c>
    </row>
    <row r="21" spans="2:3" x14ac:dyDescent="0.2">
      <c r="B21" s="12" t="s">
        <v>31</v>
      </c>
      <c r="C21" s="12" t="s">
        <v>38</v>
      </c>
    </row>
    <row r="22" spans="2:3" x14ac:dyDescent="0.2">
      <c r="B22" s="2" t="s">
        <v>31</v>
      </c>
      <c r="C22" s="2" t="s">
        <v>39</v>
      </c>
    </row>
    <row r="23" spans="2:3" x14ac:dyDescent="0.2">
      <c r="B23" s="12" t="s">
        <v>31</v>
      </c>
      <c r="C23" s="12" t="s">
        <v>40</v>
      </c>
    </row>
    <row r="24" spans="2:3" x14ac:dyDescent="0.2">
      <c r="B24" s="2" t="s">
        <v>31</v>
      </c>
      <c r="C24" s="2" t="s">
        <v>41</v>
      </c>
    </row>
    <row r="25" spans="2:3" x14ac:dyDescent="0.2">
      <c r="B25" s="12" t="s">
        <v>31</v>
      </c>
      <c r="C25" s="12" t="s">
        <v>42</v>
      </c>
    </row>
    <row r="26" spans="2:3" x14ac:dyDescent="0.2">
      <c r="B26" s="2" t="s">
        <v>31</v>
      </c>
      <c r="C26" s="2" t="s">
        <v>43</v>
      </c>
    </row>
    <row r="27" spans="2:3" x14ac:dyDescent="0.2">
      <c r="B27" s="12" t="s">
        <v>31</v>
      </c>
      <c r="C27" s="12" t="s">
        <v>44</v>
      </c>
    </row>
    <row r="28" spans="2:3" x14ac:dyDescent="0.2">
      <c r="B28" s="2" t="s">
        <v>31</v>
      </c>
      <c r="C28" s="2" t="s">
        <v>45</v>
      </c>
    </row>
    <row r="29" spans="2:3" x14ac:dyDescent="0.2">
      <c r="B29" s="12" t="s">
        <v>31</v>
      </c>
      <c r="C29" s="12" t="s">
        <v>46</v>
      </c>
    </row>
    <row r="30" spans="2:3" x14ac:dyDescent="0.2">
      <c r="B30" s="2" t="s">
        <v>31</v>
      </c>
      <c r="C30" s="2" t="s">
        <v>47</v>
      </c>
    </row>
    <row r="31" spans="2:3" x14ac:dyDescent="0.2">
      <c r="B31" s="12" t="s">
        <v>31</v>
      </c>
      <c r="C31" s="12" t="s">
        <v>48</v>
      </c>
    </row>
    <row r="32" spans="2:3" x14ac:dyDescent="0.2">
      <c r="B32" s="2" t="s">
        <v>31</v>
      </c>
      <c r="C32" s="2" t="s">
        <v>49</v>
      </c>
    </row>
    <row r="33" spans="2:3" x14ac:dyDescent="0.2">
      <c r="B33" s="12" t="s">
        <v>31</v>
      </c>
      <c r="C33" s="12" t="s">
        <v>50</v>
      </c>
    </row>
    <row r="34" spans="2:3" x14ac:dyDescent="0.2">
      <c r="B34" s="2" t="s">
        <v>31</v>
      </c>
      <c r="C34" s="2" t="s">
        <v>51</v>
      </c>
    </row>
    <row r="35" spans="2:3" x14ac:dyDescent="0.2">
      <c r="B35" s="12" t="s">
        <v>31</v>
      </c>
      <c r="C35" s="12" t="s">
        <v>52</v>
      </c>
    </row>
    <row r="36" spans="2:3" x14ac:dyDescent="0.2">
      <c r="B36" s="2" t="s">
        <v>31</v>
      </c>
      <c r="C36" s="2" t="s">
        <v>53</v>
      </c>
    </row>
    <row r="37" spans="2:3" x14ac:dyDescent="0.2">
      <c r="B37" s="12" t="s">
        <v>31</v>
      </c>
      <c r="C37" s="12" t="s">
        <v>54</v>
      </c>
    </row>
    <row r="38" spans="2:3" x14ac:dyDescent="0.2">
      <c r="B38" s="2" t="s">
        <v>31</v>
      </c>
      <c r="C38" s="2" t="s">
        <v>55</v>
      </c>
    </row>
    <row r="39" spans="2:3" x14ac:dyDescent="0.2">
      <c r="B39" s="12" t="s">
        <v>31</v>
      </c>
      <c r="C39" s="12" t="s">
        <v>56</v>
      </c>
    </row>
    <row r="40" spans="2:3" x14ac:dyDescent="0.2">
      <c r="B40" s="2" t="s">
        <v>31</v>
      </c>
      <c r="C40" s="2" t="s">
        <v>57</v>
      </c>
    </row>
    <row r="41" spans="2:3" x14ac:dyDescent="0.2">
      <c r="B41" s="12" t="s">
        <v>31</v>
      </c>
      <c r="C41" s="12" t="s">
        <v>58</v>
      </c>
    </row>
    <row r="42" spans="2:3" x14ac:dyDescent="0.2">
      <c r="B42" s="2" t="s">
        <v>31</v>
      </c>
      <c r="C42" s="2" t="s">
        <v>59</v>
      </c>
    </row>
    <row r="43" spans="2:3" x14ac:dyDescent="0.2">
      <c r="B43" s="12" t="s">
        <v>31</v>
      </c>
      <c r="C43" s="12" t="s">
        <v>60</v>
      </c>
    </row>
    <row r="44" spans="2:3" x14ac:dyDescent="0.2">
      <c r="B44" s="2" t="s">
        <v>31</v>
      </c>
      <c r="C44" s="2" t="s">
        <v>61</v>
      </c>
    </row>
    <row r="45" spans="2:3" x14ac:dyDescent="0.2">
      <c r="B45" s="12" t="s">
        <v>31</v>
      </c>
      <c r="C45" s="12" t="s">
        <v>62</v>
      </c>
    </row>
    <row r="46" spans="2:3" x14ac:dyDescent="0.2">
      <c r="B46" s="2" t="s">
        <v>31</v>
      </c>
      <c r="C46" s="2" t="s">
        <v>63</v>
      </c>
    </row>
    <row r="47" spans="2:3" x14ac:dyDescent="0.2">
      <c r="B47" s="12" t="s">
        <v>31</v>
      </c>
      <c r="C47" s="12" t="s">
        <v>64</v>
      </c>
    </row>
    <row r="48" spans="2:3" x14ac:dyDescent="0.2">
      <c r="B48" s="2" t="s">
        <v>31</v>
      </c>
      <c r="C48" s="2" t="s">
        <v>65</v>
      </c>
    </row>
    <row r="49" spans="2:3" x14ac:dyDescent="0.2">
      <c r="B49" s="12" t="s">
        <v>31</v>
      </c>
      <c r="C49" s="12" t="s">
        <v>66</v>
      </c>
    </row>
    <row r="50" spans="2:3" x14ac:dyDescent="0.2">
      <c r="B50" s="2" t="s">
        <v>31</v>
      </c>
      <c r="C50" s="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1"/>
  <sheetViews>
    <sheetView zoomScale="120" zoomScaleNormal="120" workbookViewId="0">
      <pane xSplit="1" ySplit="10" topLeftCell="O53" activePane="bottomRight" state="frozen"/>
      <selection pane="topRight"/>
      <selection pane="bottomLeft"/>
      <selection pane="bottomRight" activeCell="B82" sqref="B82:AJ88"/>
    </sheetView>
  </sheetViews>
  <sheetFormatPr baseColWidth="10" defaultColWidth="8.83203125" defaultRowHeight="11.25" customHeight="1" x14ac:dyDescent="0.2"/>
  <cols>
    <col min="1" max="1" width="29.83203125" customWidth="1"/>
    <col min="2" max="37" width="10" customWidth="1"/>
  </cols>
  <sheetData>
    <row r="1" spans="1:37" ht="15" x14ac:dyDescent="0.2">
      <c r="A1" s="2" t="s">
        <v>68</v>
      </c>
    </row>
    <row r="2" spans="1:37" ht="15" x14ac:dyDescent="0.2">
      <c r="A2" s="2" t="s">
        <v>69</v>
      </c>
      <c r="B2" s="1" t="s">
        <v>0</v>
      </c>
    </row>
    <row r="3" spans="1:37" ht="15" x14ac:dyDescent="0.2">
      <c r="A3" s="2" t="s">
        <v>70</v>
      </c>
      <c r="B3" s="2" t="s">
        <v>6</v>
      </c>
    </row>
    <row r="4" spans="1:37" ht="15" x14ac:dyDescent="0.2"/>
    <row r="5" spans="1:37" ht="15" x14ac:dyDescent="0.2">
      <c r="A5" s="1" t="s">
        <v>11</v>
      </c>
      <c r="C5" s="2" t="s">
        <v>15</v>
      </c>
    </row>
    <row r="6" spans="1:37" ht="15" x14ac:dyDescent="0.2">
      <c r="A6" s="1" t="s">
        <v>12</v>
      </c>
      <c r="C6" s="2" t="s">
        <v>16</v>
      </c>
    </row>
    <row r="7" spans="1:37" ht="15" x14ac:dyDescent="0.2">
      <c r="A7" s="1" t="s">
        <v>13</v>
      </c>
      <c r="C7" s="2" t="s">
        <v>17</v>
      </c>
    </row>
    <row r="8" spans="1:37" ht="15" x14ac:dyDescent="0.2"/>
    <row r="9" spans="1:37" ht="15" x14ac:dyDescent="0.2">
      <c r="A9" s="4" t="s">
        <v>71</v>
      </c>
      <c r="B9" s="3" t="s">
        <v>32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3" t="s">
        <v>38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46</v>
      </c>
      <c r="Q9" s="3" t="s">
        <v>47</v>
      </c>
      <c r="R9" s="3" t="s">
        <v>48</v>
      </c>
      <c r="S9" s="3" t="s">
        <v>49</v>
      </c>
      <c r="T9" s="3" t="s">
        <v>50</v>
      </c>
      <c r="U9" s="3" t="s">
        <v>51</v>
      </c>
      <c r="V9" s="3" t="s">
        <v>52</v>
      </c>
      <c r="W9" s="3" t="s">
        <v>53</v>
      </c>
      <c r="X9" s="3" t="s">
        <v>54</v>
      </c>
      <c r="Y9" s="3" t="s">
        <v>55</v>
      </c>
      <c r="Z9" s="3" t="s">
        <v>56</v>
      </c>
      <c r="AA9" s="3" t="s">
        <v>57</v>
      </c>
      <c r="AB9" s="3" t="s">
        <v>58</v>
      </c>
      <c r="AC9" s="3" t="s">
        <v>59</v>
      </c>
      <c r="AD9" s="3" t="s">
        <v>60</v>
      </c>
      <c r="AE9" s="3" t="s">
        <v>61</v>
      </c>
      <c r="AF9" s="3" t="s">
        <v>62</v>
      </c>
      <c r="AG9" s="3" t="s">
        <v>63</v>
      </c>
      <c r="AH9" s="3" t="s">
        <v>64</v>
      </c>
      <c r="AI9" s="3" t="s">
        <v>65</v>
      </c>
      <c r="AJ9" s="3" t="s">
        <v>66</v>
      </c>
      <c r="AK9" s="3" t="s">
        <v>67</v>
      </c>
    </row>
    <row r="10" spans="1:37" ht="15" x14ac:dyDescent="0.2">
      <c r="A10" s="5" t="s">
        <v>72</v>
      </c>
      <c r="B10" s="7" t="s">
        <v>73</v>
      </c>
      <c r="C10" s="7" t="s">
        <v>73</v>
      </c>
      <c r="D10" s="7" t="s">
        <v>73</v>
      </c>
      <c r="E10" s="7" t="s">
        <v>73</v>
      </c>
      <c r="F10" s="7" t="s">
        <v>73</v>
      </c>
      <c r="G10" s="7" t="s">
        <v>73</v>
      </c>
      <c r="H10" s="7" t="s">
        <v>73</v>
      </c>
      <c r="I10" s="7" t="s">
        <v>73</v>
      </c>
      <c r="J10" s="7" t="s">
        <v>73</v>
      </c>
      <c r="K10" s="7" t="s">
        <v>73</v>
      </c>
      <c r="L10" s="7" t="s">
        <v>73</v>
      </c>
      <c r="M10" s="7" t="s">
        <v>73</v>
      </c>
      <c r="N10" s="7" t="s">
        <v>73</v>
      </c>
      <c r="O10" s="7" t="s">
        <v>73</v>
      </c>
      <c r="P10" s="7" t="s">
        <v>73</v>
      </c>
      <c r="Q10" s="7" t="s">
        <v>73</v>
      </c>
      <c r="R10" s="7" t="s">
        <v>73</v>
      </c>
      <c r="S10" s="7" t="s">
        <v>73</v>
      </c>
      <c r="T10" s="7" t="s">
        <v>73</v>
      </c>
      <c r="U10" s="7" t="s">
        <v>73</v>
      </c>
      <c r="V10" s="7" t="s">
        <v>73</v>
      </c>
      <c r="W10" s="7" t="s">
        <v>73</v>
      </c>
      <c r="X10" s="7" t="s">
        <v>73</v>
      </c>
      <c r="Y10" s="7" t="s">
        <v>73</v>
      </c>
      <c r="Z10" s="7" t="s">
        <v>73</v>
      </c>
      <c r="AA10" s="7" t="s">
        <v>73</v>
      </c>
      <c r="AB10" s="7" t="s">
        <v>73</v>
      </c>
      <c r="AC10" s="7" t="s">
        <v>73</v>
      </c>
      <c r="AD10" s="7" t="s">
        <v>73</v>
      </c>
      <c r="AE10" s="7" t="s">
        <v>73</v>
      </c>
      <c r="AF10" s="7" t="s">
        <v>73</v>
      </c>
      <c r="AG10" s="7" t="s">
        <v>73</v>
      </c>
      <c r="AH10" s="7" t="s">
        <v>73</v>
      </c>
      <c r="AI10" s="7" t="s">
        <v>73</v>
      </c>
      <c r="AJ10" s="7" t="s">
        <v>73</v>
      </c>
      <c r="AK10" s="7" t="s">
        <v>73</v>
      </c>
    </row>
    <row r="11" spans="1:37" ht="15" x14ac:dyDescent="0.2">
      <c r="A11" s="6" t="s">
        <v>23</v>
      </c>
      <c r="B11" s="15">
        <v>-0.3</v>
      </c>
      <c r="C11" s="15">
        <v>0.9</v>
      </c>
      <c r="D11" s="15">
        <v>0.9</v>
      </c>
      <c r="E11" s="15">
        <v>1.3</v>
      </c>
      <c r="F11" s="15">
        <v>1.6</v>
      </c>
      <c r="G11" s="19">
        <v>2</v>
      </c>
      <c r="H11" s="15">
        <v>1.9</v>
      </c>
      <c r="I11" s="15">
        <v>2.2000000000000002</v>
      </c>
      <c r="J11" s="19">
        <v>3</v>
      </c>
      <c r="K11" s="15">
        <v>3.4</v>
      </c>
      <c r="L11" s="15">
        <v>4.0999999999999996</v>
      </c>
      <c r="M11" s="15">
        <v>4.9000000000000004</v>
      </c>
      <c r="N11" s="19">
        <v>5</v>
      </c>
      <c r="O11" s="15">
        <v>5.0999999999999996</v>
      </c>
      <c r="P11" s="15">
        <v>5.9</v>
      </c>
      <c r="Q11" s="15">
        <v>7.4</v>
      </c>
      <c r="R11" s="15">
        <v>7.5</v>
      </c>
      <c r="S11" s="15">
        <v>8.1</v>
      </c>
      <c r="T11" s="15">
        <v>8.6999999999999993</v>
      </c>
      <c r="U11" s="15">
        <v>8.9</v>
      </c>
      <c r="V11" s="15">
        <v>9.1999999999999993</v>
      </c>
      <c r="W11" s="15">
        <v>9.9</v>
      </c>
      <c r="X11" s="15">
        <v>10.6</v>
      </c>
      <c r="Y11" s="15">
        <v>10.1</v>
      </c>
      <c r="Z11" s="15">
        <v>9.1999999999999993</v>
      </c>
      <c r="AA11" s="15">
        <v>8.6999999999999993</v>
      </c>
      <c r="AB11" s="15">
        <v>8.5</v>
      </c>
      <c r="AC11" s="15">
        <v>6.9</v>
      </c>
      <c r="AD11" s="19">
        <v>7</v>
      </c>
      <c r="AE11" s="15">
        <v>6.1</v>
      </c>
      <c r="AF11" s="15">
        <v>5.5</v>
      </c>
      <c r="AG11" s="15">
        <v>5.3</v>
      </c>
      <c r="AH11" s="15">
        <v>5.2</v>
      </c>
      <c r="AI11" s="15">
        <v>4.3</v>
      </c>
      <c r="AJ11" s="15">
        <v>2.9</v>
      </c>
      <c r="AK11" s="8" t="s">
        <v>74</v>
      </c>
    </row>
    <row r="12" spans="1:37" ht="15" x14ac:dyDescent="0.2">
      <c r="A12" s="6" t="s">
        <v>24</v>
      </c>
      <c r="B12" s="20">
        <v>0</v>
      </c>
      <c r="C12" s="16">
        <v>-0.3</v>
      </c>
      <c r="D12" s="16">
        <v>0.2</v>
      </c>
      <c r="E12" s="16">
        <v>0.8</v>
      </c>
      <c r="F12" s="20">
        <v>2</v>
      </c>
      <c r="G12" s="16">
        <v>2.2999999999999998</v>
      </c>
      <c r="H12" s="16">
        <v>2.4</v>
      </c>
      <c r="I12" s="16">
        <v>2.2000000000000002</v>
      </c>
      <c r="J12" s="16">
        <v>2.5</v>
      </c>
      <c r="K12" s="20">
        <v>4</v>
      </c>
      <c r="L12" s="16">
        <v>5.2</v>
      </c>
      <c r="M12" s="16">
        <v>6.3</v>
      </c>
      <c r="N12" s="16">
        <v>6.6</v>
      </c>
      <c r="O12" s="16">
        <v>7.7</v>
      </c>
      <c r="P12" s="16">
        <v>8.4</v>
      </c>
      <c r="Q12" s="16">
        <v>10.5</v>
      </c>
      <c r="R12" s="16">
        <v>12.1</v>
      </c>
      <c r="S12" s="16">
        <v>13.4</v>
      </c>
      <c r="T12" s="16">
        <v>14.8</v>
      </c>
      <c r="U12" s="16">
        <v>14.9</v>
      </c>
      <c r="V12" s="20">
        <v>15</v>
      </c>
      <c r="W12" s="16">
        <v>15.6</v>
      </c>
      <c r="X12" s="16">
        <v>14.8</v>
      </c>
      <c r="Y12" s="16">
        <v>14.3</v>
      </c>
      <c r="Z12" s="16">
        <v>14.3</v>
      </c>
      <c r="AA12" s="16">
        <v>14.3</v>
      </c>
      <c r="AB12" s="16">
        <v>13.7</v>
      </c>
      <c r="AC12" s="16">
        <v>12.1</v>
      </c>
      <c r="AD12" s="16">
        <v>10.3</v>
      </c>
      <c r="AE12" s="16">
        <v>8.6</v>
      </c>
      <c r="AF12" s="16">
        <v>7.5</v>
      </c>
      <c r="AG12" s="16">
        <v>7.8</v>
      </c>
      <c r="AH12" s="16">
        <v>7.5</v>
      </c>
      <c r="AI12" s="16">
        <v>6.4</v>
      </c>
      <c r="AJ12" s="16">
        <v>5.9</v>
      </c>
      <c r="AK12" s="9" t="s">
        <v>74</v>
      </c>
    </row>
    <row r="13" spans="1:37" ht="15" x14ac:dyDescent="0.2">
      <c r="A13" s="6" t="s">
        <v>25</v>
      </c>
      <c r="B13" s="15">
        <v>2.4</v>
      </c>
      <c r="C13" s="15">
        <v>2.2000000000000002</v>
      </c>
      <c r="D13" s="15">
        <v>2.1</v>
      </c>
      <c r="E13" s="15">
        <v>2.2999999999999998</v>
      </c>
      <c r="F13" s="15">
        <v>3.1</v>
      </c>
      <c r="G13" s="15">
        <v>2.7</v>
      </c>
      <c r="H13" s="15">
        <v>2.5</v>
      </c>
      <c r="I13" s="15">
        <v>2.7</v>
      </c>
      <c r="J13" s="15">
        <v>3.1</v>
      </c>
      <c r="K13" s="19">
        <v>4</v>
      </c>
      <c r="L13" s="15">
        <v>4.8</v>
      </c>
      <c r="M13" s="15">
        <v>4.8</v>
      </c>
      <c r="N13" s="15">
        <v>5.4</v>
      </c>
      <c r="O13" s="15">
        <v>8.8000000000000007</v>
      </c>
      <c r="P13" s="19">
        <v>10</v>
      </c>
      <c r="Q13" s="15">
        <v>11.9</v>
      </c>
      <c r="R13" s="15">
        <v>13.2</v>
      </c>
      <c r="S13" s="15">
        <v>15.2</v>
      </c>
      <c r="T13" s="15">
        <v>16.600000000000001</v>
      </c>
      <c r="U13" s="15">
        <v>17.3</v>
      </c>
      <c r="V13" s="15">
        <v>17.100000000000001</v>
      </c>
      <c r="W13" s="15">
        <v>17.8</v>
      </c>
      <c r="X13" s="15">
        <v>15.5</v>
      </c>
      <c r="Y13" s="15">
        <v>17.2</v>
      </c>
      <c r="Z13" s="15">
        <v>16.8</v>
      </c>
      <c r="AA13" s="15">
        <v>19.100000000000001</v>
      </c>
      <c r="AB13" s="15">
        <v>18.399999999999999</v>
      </c>
      <c r="AC13" s="15">
        <v>16.5</v>
      </c>
      <c r="AD13" s="15">
        <v>14.3</v>
      </c>
      <c r="AE13" s="15">
        <v>12.5</v>
      </c>
      <c r="AF13" s="15">
        <v>11.2</v>
      </c>
      <c r="AG13" s="15">
        <v>10.199999999999999</v>
      </c>
      <c r="AH13" s="15">
        <v>10.1</v>
      </c>
      <c r="AI13" s="15">
        <v>8.3000000000000007</v>
      </c>
      <c r="AJ13" s="15">
        <v>9.5</v>
      </c>
      <c r="AK13" s="8" t="s">
        <v>74</v>
      </c>
    </row>
    <row r="14" spans="1:37" ht="15" x14ac:dyDescent="0.2">
      <c r="A14" s="6" t="s">
        <v>26</v>
      </c>
      <c r="B14" s="16">
        <v>0.4</v>
      </c>
      <c r="C14" s="16">
        <v>0.4</v>
      </c>
      <c r="D14" s="16">
        <v>0.5</v>
      </c>
      <c r="E14" s="16">
        <v>0.9</v>
      </c>
      <c r="F14" s="16">
        <v>1.5</v>
      </c>
      <c r="G14" s="16">
        <v>1.9</v>
      </c>
      <c r="H14" s="16">
        <v>1.9</v>
      </c>
      <c r="I14" s="16">
        <v>1.7</v>
      </c>
      <c r="J14" s="16">
        <v>1.8</v>
      </c>
      <c r="K14" s="16">
        <v>2.4</v>
      </c>
      <c r="L14" s="16">
        <v>3.2</v>
      </c>
      <c r="M14" s="16">
        <v>3.8</v>
      </c>
      <c r="N14" s="16">
        <v>3.4</v>
      </c>
      <c r="O14" s="16">
        <v>4.9000000000000004</v>
      </c>
      <c r="P14" s="16">
        <v>5.3</v>
      </c>
      <c r="Q14" s="20">
        <v>6</v>
      </c>
      <c r="R14" s="16">
        <v>7.4</v>
      </c>
      <c r="S14" s="16">
        <v>8.1999999999999993</v>
      </c>
      <c r="T14" s="16">
        <v>9.1</v>
      </c>
      <c r="U14" s="16">
        <v>9.6</v>
      </c>
      <c r="V14" s="16">
        <v>9.9</v>
      </c>
      <c r="W14" s="16">
        <v>11.1</v>
      </c>
      <c r="X14" s="16">
        <v>11.4</v>
      </c>
      <c r="Y14" s="16">
        <v>9.6999999999999993</v>
      </c>
      <c r="Z14" s="16">
        <v>9.6</v>
      </c>
      <c r="AA14" s="16">
        <v>8.4</v>
      </c>
      <c r="AB14" s="16">
        <v>8.3000000000000007</v>
      </c>
      <c r="AC14" s="16">
        <v>7.3</v>
      </c>
      <c r="AD14" s="16">
        <v>5.6</v>
      </c>
      <c r="AE14" s="16">
        <v>2.9</v>
      </c>
      <c r="AF14" s="16">
        <v>2.4</v>
      </c>
      <c r="AG14" s="16">
        <v>3.2</v>
      </c>
      <c r="AH14" s="16">
        <v>2.2999999999999998</v>
      </c>
      <c r="AI14" s="16">
        <v>0.6</v>
      </c>
      <c r="AJ14" s="16">
        <v>-0.4</v>
      </c>
      <c r="AK14" s="9" t="s">
        <v>74</v>
      </c>
    </row>
    <row r="15" spans="1:37" ht="15" x14ac:dyDescent="0.2">
      <c r="A15" s="6" t="s">
        <v>27</v>
      </c>
      <c r="B15" s="15">
        <v>2.8</v>
      </c>
      <c r="C15" s="15">
        <v>2.9</v>
      </c>
      <c r="D15" s="15">
        <v>3.3</v>
      </c>
      <c r="E15" s="15">
        <v>3.9</v>
      </c>
      <c r="F15" s="15">
        <v>5.2</v>
      </c>
      <c r="G15" s="15">
        <v>5.3</v>
      </c>
      <c r="H15" s="15">
        <v>5.3</v>
      </c>
      <c r="I15" s="15">
        <v>4.7</v>
      </c>
      <c r="J15" s="15">
        <v>4.9000000000000004</v>
      </c>
      <c r="K15" s="15">
        <v>5.5</v>
      </c>
      <c r="L15" s="15">
        <v>6.6</v>
      </c>
      <c r="M15" s="15">
        <v>7.5</v>
      </c>
      <c r="N15" s="15">
        <v>7.4</v>
      </c>
      <c r="O15" s="15">
        <v>7.9</v>
      </c>
      <c r="P15" s="15">
        <v>8.4</v>
      </c>
      <c r="Q15" s="15">
        <v>8.6</v>
      </c>
      <c r="R15" s="15">
        <v>9.6</v>
      </c>
      <c r="S15" s="15">
        <v>10.8</v>
      </c>
      <c r="T15" s="15">
        <v>12.6</v>
      </c>
      <c r="U15" s="15">
        <v>14.7</v>
      </c>
      <c r="V15" s="15">
        <v>18.600000000000001</v>
      </c>
      <c r="W15" s="15">
        <v>20.7</v>
      </c>
      <c r="X15" s="15">
        <v>21.9</v>
      </c>
      <c r="Y15" s="15">
        <v>23.1</v>
      </c>
      <c r="Z15" s="19">
        <v>25</v>
      </c>
      <c r="AA15" s="15">
        <v>26.2</v>
      </c>
      <c r="AB15" s="15">
        <v>25.8</v>
      </c>
      <c r="AC15" s="15">
        <v>25.6</v>
      </c>
      <c r="AD15" s="15">
        <v>24.4</v>
      </c>
      <c r="AE15" s="15">
        <v>21.9</v>
      </c>
      <c r="AF15" s="15">
        <v>19.899999999999999</v>
      </c>
      <c r="AG15" s="15">
        <v>17.5</v>
      </c>
      <c r="AH15" s="15">
        <v>14.2</v>
      </c>
      <c r="AI15" s="15">
        <v>12.2</v>
      </c>
      <c r="AJ15" s="15">
        <v>9.6</v>
      </c>
      <c r="AK15" s="8" t="s">
        <v>74</v>
      </c>
    </row>
    <row r="16" spans="1:37" ht="15" x14ac:dyDescent="0.2">
      <c r="A16" s="6" t="s">
        <v>28</v>
      </c>
      <c r="B16" s="16">
        <v>3.4</v>
      </c>
      <c r="C16" s="16">
        <v>3.6</v>
      </c>
      <c r="D16" s="16">
        <v>3.6</v>
      </c>
      <c r="E16" s="16">
        <v>4.4000000000000004</v>
      </c>
      <c r="F16" s="16">
        <v>5.0999999999999996</v>
      </c>
      <c r="G16" s="16">
        <v>4.5999999999999996</v>
      </c>
      <c r="H16" s="16">
        <v>4.0999999999999996</v>
      </c>
      <c r="I16" s="16">
        <v>4.7</v>
      </c>
      <c r="J16" s="20">
        <v>5</v>
      </c>
      <c r="K16" s="16">
        <v>5.6</v>
      </c>
      <c r="L16" s="16">
        <v>6.4</v>
      </c>
      <c r="M16" s="16">
        <v>7.4</v>
      </c>
      <c r="N16" s="20">
        <v>8</v>
      </c>
      <c r="O16" s="16">
        <v>8.6999999999999993</v>
      </c>
      <c r="P16" s="16">
        <v>8.1</v>
      </c>
      <c r="Q16" s="16">
        <v>10.199999999999999</v>
      </c>
      <c r="R16" s="16">
        <v>11.4</v>
      </c>
      <c r="S16" s="16">
        <v>12.8</v>
      </c>
      <c r="T16" s="16">
        <v>14.2</v>
      </c>
      <c r="U16" s="16">
        <v>14.2</v>
      </c>
      <c r="V16" s="16">
        <v>14.8</v>
      </c>
      <c r="W16" s="16">
        <v>15.7</v>
      </c>
      <c r="X16" s="16">
        <v>16.399999999999999</v>
      </c>
      <c r="Y16" s="16">
        <v>16.100000000000001</v>
      </c>
      <c r="Z16" s="16">
        <v>15.3</v>
      </c>
      <c r="AA16" s="16">
        <v>15.9</v>
      </c>
      <c r="AB16" s="16">
        <v>17.2</v>
      </c>
      <c r="AC16" s="16">
        <v>15.2</v>
      </c>
      <c r="AD16" s="20">
        <v>14</v>
      </c>
      <c r="AE16" s="16">
        <v>12.5</v>
      </c>
      <c r="AF16" s="20">
        <v>11</v>
      </c>
      <c r="AG16" s="16">
        <v>10.3</v>
      </c>
      <c r="AH16" s="16">
        <v>9.5</v>
      </c>
      <c r="AI16" s="16">
        <v>7.7</v>
      </c>
      <c r="AJ16" s="16">
        <v>6.3</v>
      </c>
      <c r="AK16" s="9" t="s">
        <v>74</v>
      </c>
    </row>
    <row r="17" spans="1:37" ht="15" x14ac:dyDescent="0.2">
      <c r="A17" s="6" t="s">
        <v>29</v>
      </c>
      <c r="B17" s="15">
        <v>1.8</v>
      </c>
      <c r="C17" s="19">
        <v>2</v>
      </c>
      <c r="D17" s="15">
        <v>2.5</v>
      </c>
      <c r="E17" s="15">
        <v>2.5</v>
      </c>
      <c r="F17" s="15">
        <v>2.7</v>
      </c>
      <c r="G17" s="15">
        <v>3.2</v>
      </c>
      <c r="H17" s="15">
        <v>3.5</v>
      </c>
      <c r="I17" s="15">
        <v>3.8</v>
      </c>
      <c r="J17" s="19">
        <v>4</v>
      </c>
      <c r="K17" s="15">
        <v>5.2</v>
      </c>
      <c r="L17" s="15">
        <v>6.5</v>
      </c>
      <c r="M17" s="15">
        <v>6.7</v>
      </c>
      <c r="N17" s="15">
        <v>6.7</v>
      </c>
      <c r="O17" s="15">
        <v>7.2</v>
      </c>
      <c r="P17" s="15">
        <v>7.9</v>
      </c>
      <c r="Q17" s="15">
        <v>9.6</v>
      </c>
      <c r="R17" s="15">
        <v>11.7</v>
      </c>
      <c r="S17" s="15">
        <v>12.4</v>
      </c>
      <c r="T17" s="19">
        <v>13</v>
      </c>
      <c r="U17" s="19">
        <v>13</v>
      </c>
      <c r="V17" s="15">
        <v>13.3</v>
      </c>
      <c r="W17" s="15">
        <v>13.4</v>
      </c>
      <c r="X17" s="15">
        <v>13.5</v>
      </c>
      <c r="Y17" s="15">
        <v>14.6</v>
      </c>
      <c r="Z17" s="15">
        <v>14.1</v>
      </c>
      <c r="AA17" s="15">
        <v>13.4</v>
      </c>
      <c r="AB17" s="15">
        <v>13.4</v>
      </c>
      <c r="AC17" s="15">
        <v>12.2</v>
      </c>
      <c r="AD17" s="15">
        <v>10.4</v>
      </c>
      <c r="AE17" s="15">
        <v>9.6</v>
      </c>
      <c r="AF17" s="15">
        <v>9.3000000000000007</v>
      </c>
      <c r="AG17" s="15">
        <v>8.9</v>
      </c>
      <c r="AH17" s="15">
        <v>9.3000000000000007</v>
      </c>
      <c r="AI17" s="15">
        <v>9.1999999999999993</v>
      </c>
      <c r="AJ17" s="15">
        <v>8.3000000000000007</v>
      </c>
      <c r="AK17" s="8" t="s">
        <v>74</v>
      </c>
    </row>
    <row r="18" spans="1:37" ht="15" x14ac:dyDescent="0.2">
      <c r="A18" s="6" t="s">
        <v>30</v>
      </c>
      <c r="B18" s="16">
        <v>0.6</v>
      </c>
      <c r="C18" s="16">
        <v>1.9</v>
      </c>
      <c r="D18" s="16">
        <v>1.8</v>
      </c>
      <c r="E18" s="16">
        <v>2.1</v>
      </c>
      <c r="F18" s="16">
        <v>2.8</v>
      </c>
      <c r="G18" s="16">
        <v>2.4</v>
      </c>
      <c r="H18" s="16">
        <v>1.8</v>
      </c>
      <c r="I18" s="16">
        <v>1.8</v>
      </c>
      <c r="J18" s="16">
        <v>2.5</v>
      </c>
      <c r="K18" s="20">
        <v>3</v>
      </c>
      <c r="L18" s="16">
        <v>3.3</v>
      </c>
      <c r="M18" s="16">
        <v>3.9</v>
      </c>
      <c r="N18" s="16">
        <v>4.5</v>
      </c>
      <c r="O18" s="16">
        <v>3.9</v>
      </c>
      <c r="P18" s="16">
        <v>4.4000000000000004</v>
      </c>
      <c r="Q18" s="16">
        <v>6.3</v>
      </c>
      <c r="R18" s="16">
        <v>6.6</v>
      </c>
      <c r="S18" s="16">
        <v>7.5</v>
      </c>
      <c r="T18" s="16">
        <v>8.9</v>
      </c>
      <c r="U18" s="16">
        <v>8.3000000000000007</v>
      </c>
      <c r="V18" s="16">
        <v>9.5</v>
      </c>
      <c r="W18" s="16">
        <v>10.3</v>
      </c>
      <c r="X18" s="16">
        <v>9.8000000000000007</v>
      </c>
      <c r="Y18" s="16">
        <v>10.1</v>
      </c>
      <c r="Z18" s="16">
        <v>10.8</v>
      </c>
      <c r="AA18" s="16">
        <v>9.6</v>
      </c>
      <c r="AB18" s="16">
        <v>9.6999999999999993</v>
      </c>
      <c r="AC18" s="16">
        <v>8.1</v>
      </c>
      <c r="AD18" s="16">
        <v>7.7</v>
      </c>
      <c r="AE18" s="16">
        <v>6.7</v>
      </c>
      <c r="AF18" s="16">
        <v>6.3</v>
      </c>
      <c r="AG18" s="16">
        <v>6.3</v>
      </c>
      <c r="AH18" s="16">
        <v>4.5</v>
      </c>
      <c r="AI18" s="16">
        <v>3.7</v>
      </c>
      <c r="AJ18" s="20">
        <v>4</v>
      </c>
      <c r="AK18" s="9" t="s">
        <v>74</v>
      </c>
    </row>
    <row r="20" spans="1:37" ht="15" x14ac:dyDescent="0.2">
      <c r="A20" s="1" t="s">
        <v>75</v>
      </c>
    </row>
    <row r="21" spans="1:37" ht="15" x14ac:dyDescent="0.2">
      <c r="A21" s="1" t="s">
        <v>74</v>
      </c>
      <c r="B21" s="2" t="s">
        <v>76</v>
      </c>
    </row>
    <row r="25" spans="1:37" ht="11.25" customHeight="1" x14ac:dyDescent="0.2">
      <c r="A25" s="6" t="s">
        <v>23</v>
      </c>
      <c r="B25" s="22">
        <f>B11/100</f>
        <v>-3.0000000000000001E-3</v>
      </c>
      <c r="C25" s="22">
        <f t="shared" ref="C25:AK31" si="0">C11%</f>
        <v>9.0000000000000011E-3</v>
      </c>
      <c r="D25" s="22">
        <f t="shared" si="0"/>
        <v>9.0000000000000011E-3</v>
      </c>
      <c r="E25" s="22">
        <f t="shared" si="0"/>
        <v>1.3000000000000001E-2</v>
      </c>
      <c r="F25" s="22">
        <f t="shared" si="0"/>
        <v>1.6E-2</v>
      </c>
      <c r="G25" s="22">
        <f t="shared" si="0"/>
        <v>0.02</v>
      </c>
      <c r="H25" s="22">
        <f t="shared" si="0"/>
        <v>1.9E-2</v>
      </c>
      <c r="I25" s="22">
        <f t="shared" si="0"/>
        <v>2.2000000000000002E-2</v>
      </c>
      <c r="J25" s="22">
        <f t="shared" si="0"/>
        <v>0.03</v>
      </c>
      <c r="K25" s="22">
        <f t="shared" si="0"/>
        <v>3.4000000000000002E-2</v>
      </c>
      <c r="L25" s="22">
        <f t="shared" si="0"/>
        <v>4.0999999999999995E-2</v>
      </c>
      <c r="M25" s="22">
        <f t="shared" si="0"/>
        <v>4.9000000000000002E-2</v>
      </c>
      <c r="N25" s="22">
        <f t="shared" si="0"/>
        <v>0.05</v>
      </c>
      <c r="O25" s="22">
        <f t="shared" si="0"/>
        <v>5.0999999999999997E-2</v>
      </c>
      <c r="P25" s="22">
        <f t="shared" si="0"/>
        <v>5.9000000000000004E-2</v>
      </c>
      <c r="Q25" s="22">
        <f t="shared" si="0"/>
        <v>7.400000000000001E-2</v>
      </c>
      <c r="R25" s="22">
        <f t="shared" si="0"/>
        <v>7.4999999999999997E-2</v>
      </c>
      <c r="S25" s="22">
        <f t="shared" si="0"/>
        <v>8.1000000000000003E-2</v>
      </c>
      <c r="T25" s="22">
        <f t="shared" si="0"/>
        <v>8.6999999999999994E-2</v>
      </c>
      <c r="U25" s="22">
        <f t="shared" si="0"/>
        <v>8.900000000000001E-2</v>
      </c>
      <c r="V25" s="21">
        <f t="shared" si="0"/>
        <v>9.1999999999999998E-2</v>
      </c>
      <c r="W25" s="21">
        <f t="shared" si="0"/>
        <v>9.9000000000000005E-2</v>
      </c>
      <c r="X25" s="21">
        <f t="shared" si="0"/>
        <v>0.106</v>
      </c>
      <c r="Y25" s="21">
        <f t="shared" si="0"/>
        <v>0.10099999999999999</v>
      </c>
      <c r="Z25" s="21">
        <f t="shared" si="0"/>
        <v>9.1999999999999998E-2</v>
      </c>
      <c r="AA25" s="21">
        <f t="shared" si="0"/>
        <v>8.6999999999999994E-2</v>
      </c>
      <c r="AB25" s="21">
        <f t="shared" si="0"/>
        <v>8.5000000000000006E-2</v>
      </c>
      <c r="AC25" s="21">
        <f t="shared" si="0"/>
        <v>6.9000000000000006E-2</v>
      </c>
      <c r="AD25" s="21">
        <f t="shared" si="0"/>
        <v>7.0000000000000007E-2</v>
      </c>
      <c r="AE25" s="21">
        <f t="shared" si="0"/>
        <v>6.0999999999999999E-2</v>
      </c>
      <c r="AF25" s="21">
        <f t="shared" si="0"/>
        <v>5.5E-2</v>
      </c>
      <c r="AG25" s="21">
        <f t="shared" si="0"/>
        <v>5.2999999999999999E-2</v>
      </c>
      <c r="AH25" s="21">
        <f t="shared" si="0"/>
        <v>5.2000000000000005E-2</v>
      </c>
      <c r="AI25" s="21">
        <f t="shared" si="0"/>
        <v>4.2999999999999997E-2</v>
      </c>
      <c r="AJ25" s="21">
        <f t="shared" si="0"/>
        <v>2.8999999999999998E-2</v>
      </c>
      <c r="AK25" t="e">
        <f t="shared" si="0"/>
        <v>#VALUE!</v>
      </c>
    </row>
    <row r="26" spans="1:37" ht="11.25" customHeight="1" x14ac:dyDescent="0.2">
      <c r="A26" s="6" t="s">
        <v>24</v>
      </c>
      <c r="B26" s="22">
        <f t="shared" ref="B26:B32" si="1">B12/100</f>
        <v>0</v>
      </c>
      <c r="C26" s="22">
        <f t="shared" ref="C26:Q26" si="2">C12%</f>
        <v>-3.0000000000000001E-3</v>
      </c>
      <c r="D26" s="22">
        <f t="shared" si="2"/>
        <v>2E-3</v>
      </c>
      <c r="E26" s="22">
        <f t="shared" si="2"/>
        <v>8.0000000000000002E-3</v>
      </c>
      <c r="F26" s="22">
        <f t="shared" si="2"/>
        <v>0.02</v>
      </c>
      <c r="G26" s="22">
        <f t="shared" si="2"/>
        <v>2.3E-2</v>
      </c>
      <c r="H26" s="22">
        <f t="shared" si="2"/>
        <v>2.4E-2</v>
      </c>
      <c r="I26" s="22">
        <f t="shared" si="2"/>
        <v>2.2000000000000002E-2</v>
      </c>
      <c r="J26" s="22">
        <f t="shared" si="2"/>
        <v>2.5000000000000001E-2</v>
      </c>
      <c r="K26" s="22">
        <f t="shared" si="2"/>
        <v>0.04</v>
      </c>
      <c r="L26" s="22">
        <f t="shared" si="2"/>
        <v>5.2000000000000005E-2</v>
      </c>
      <c r="M26" s="22">
        <f t="shared" si="2"/>
        <v>6.3E-2</v>
      </c>
      <c r="N26" s="22">
        <f t="shared" si="2"/>
        <v>6.6000000000000003E-2</v>
      </c>
      <c r="O26" s="22">
        <f t="shared" si="2"/>
        <v>7.6999999999999999E-2</v>
      </c>
      <c r="P26" s="22">
        <f t="shared" si="2"/>
        <v>8.4000000000000005E-2</v>
      </c>
      <c r="Q26" s="22">
        <f t="shared" si="2"/>
        <v>0.105</v>
      </c>
      <c r="R26" s="22">
        <f t="shared" si="0"/>
        <v>0.121</v>
      </c>
      <c r="S26" s="22">
        <f t="shared" si="0"/>
        <v>0.13400000000000001</v>
      </c>
      <c r="T26" s="22">
        <f t="shared" si="0"/>
        <v>0.14800000000000002</v>
      </c>
      <c r="U26" s="22">
        <f t="shared" si="0"/>
        <v>0.14899999999999999</v>
      </c>
      <c r="V26" s="21">
        <f t="shared" si="0"/>
        <v>0.15</v>
      </c>
      <c r="W26" s="21">
        <f t="shared" si="0"/>
        <v>0.156</v>
      </c>
      <c r="X26" s="21">
        <f t="shared" si="0"/>
        <v>0.14800000000000002</v>
      </c>
      <c r="Y26" s="21">
        <f t="shared" si="0"/>
        <v>0.14300000000000002</v>
      </c>
      <c r="Z26" s="21">
        <f t="shared" si="0"/>
        <v>0.14300000000000002</v>
      </c>
      <c r="AA26" s="21">
        <f t="shared" si="0"/>
        <v>0.14300000000000002</v>
      </c>
      <c r="AB26" s="21">
        <f t="shared" si="0"/>
        <v>0.13699999999999998</v>
      </c>
      <c r="AC26" s="21">
        <f t="shared" si="0"/>
        <v>0.121</v>
      </c>
      <c r="AD26" s="21">
        <f t="shared" si="0"/>
        <v>0.10300000000000001</v>
      </c>
      <c r="AE26" s="21">
        <f t="shared" si="0"/>
        <v>8.5999999999999993E-2</v>
      </c>
      <c r="AF26" s="21">
        <f t="shared" si="0"/>
        <v>7.4999999999999997E-2</v>
      </c>
      <c r="AG26" s="21">
        <f t="shared" si="0"/>
        <v>7.8E-2</v>
      </c>
      <c r="AH26" s="21">
        <f t="shared" si="0"/>
        <v>7.4999999999999997E-2</v>
      </c>
      <c r="AI26" s="21">
        <f t="shared" si="0"/>
        <v>6.4000000000000001E-2</v>
      </c>
      <c r="AJ26" s="21">
        <f t="shared" si="0"/>
        <v>5.9000000000000004E-2</v>
      </c>
      <c r="AK26" t="e">
        <f t="shared" si="0"/>
        <v>#VALUE!</v>
      </c>
    </row>
    <row r="27" spans="1:37" ht="11.25" customHeight="1" x14ac:dyDescent="0.2">
      <c r="A27" s="6" t="s">
        <v>25</v>
      </c>
      <c r="B27" s="22">
        <f t="shared" si="1"/>
        <v>2.4E-2</v>
      </c>
      <c r="C27" s="22">
        <f t="shared" si="0"/>
        <v>2.2000000000000002E-2</v>
      </c>
      <c r="D27" s="22">
        <f t="shared" si="0"/>
        <v>2.1000000000000001E-2</v>
      </c>
      <c r="E27" s="22">
        <f t="shared" si="0"/>
        <v>2.3E-2</v>
      </c>
      <c r="F27" s="22">
        <f t="shared" si="0"/>
        <v>3.1E-2</v>
      </c>
      <c r="G27" s="22">
        <f t="shared" si="0"/>
        <v>2.7000000000000003E-2</v>
      </c>
      <c r="H27" s="22">
        <f t="shared" si="0"/>
        <v>2.5000000000000001E-2</v>
      </c>
      <c r="I27" s="22">
        <f t="shared" si="0"/>
        <v>2.7000000000000003E-2</v>
      </c>
      <c r="J27" s="22">
        <f t="shared" si="0"/>
        <v>3.1E-2</v>
      </c>
      <c r="K27" s="22">
        <f t="shared" si="0"/>
        <v>0.04</v>
      </c>
      <c r="L27" s="22">
        <f t="shared" si="0"/>
        <v>4.8000000000000001E-2</v>
      </c>
      <c r="M27" s="22">
        <f t="shared" si="0"/>
        <v>4.8000000000000001E-2</v>
      </c>
      <c r="N27" s="22">
        <f t="shared" si="0"/>
        <v>5.4000000000000006E-2</v>
      </c>
      <c r="O27" s="22">
        <f t="shared" si="0"/>
        <v>8.8000000000000009E-2</v>
      </c>
      <c r="P27" s="22">
        <f t="shared" si="0"/>
        <v>0.1</v>
      </c>
      <c r="Q27" s="22">
        <f t="shared" si="0"/>
        <v>0.11900000000000001</v>
      </c>
      <c r="R27" s="22">
        <f t="shared" si="0"/>
        <v>0.13200000000000001</v>
      </c>
      <c r="S27" s="22">
        <f t="shared" si="0"/>
        <v>0.152</v>
      </c>
      <c r="T27" s="22">
        <f t="shared" si="0"/>
        <v>0.16600000000000001</v>
      </c>
      <c r="U27" s="22">
        <f t="shared" si="0"/>
        <v>0.17300000000000001</v>
      </c>
      <c r="V27" s="21">
        <f t="shared" si="0"/>
        <v>0.17100000000000001</v>
      </c>
      <c r="W27" s="21">
        <f t="shared" si="0"/>
        <v>0.17800000000000002</v>
      </c>
      <c r="X27" s="21">
        <f t="shared" si="0"/>
        <v>0.155</v>
      </c>
      <c r="Y27" s="21">
        <f t="shared" si="0"/>
        <v>0.17199999999999999</v>
      </c>
      <c r="Z27" s="21">
        <f t="shared" si="0"/>
        <v>0.16800000000000001</v>
      </c>
      <c r="AA27" s="21">
        <f t="shared" si="0"/>
        <v>0.191</v>
      </c>
      <c r="AB27" s="21">
        <f t="shared" si="0"/>
        <v>0.184</v>
      </c>
      <c r="AC27" s="21">
        <f t="shared" si="0"/>
        <v>0.16500000000000001</v>
      </c>
      <c r="AD27" s="21">
        <f t="shared" si="0"/>
        <v>0.14300000000000002</v>
      </c>
      <c r="AE27" s="21">
        <f t="shared" si="0"/>
        <v>0.125</v>
      </c>
      <c r="AF27" s="21">
        <f t="shared" si="0"/>
        <v>0.11199999999999999</v>
      </c>
      <c r="AG27" s="21">
        <f t="shared" si="0"/>
        <v>0.10199999999999999</v>
      </c>
      <c r="AH27" s="21">
        <f t="shared" si="0"/>
        <v>0.10099999999999999</v>
      </c>
      <c r="AI27" s="21">
        <f t="shared" si="0"/>
        <v>8.3000000000000004E-2</v>
      </c>
      <c r="AJ27" s="21">
        <f t="shared" si="0"/>
        <v>9.5000000000000001E-2</v>
      </c>
      <c r="AK27" t="e">
        <f t="shared" si="0"/>
        <v>#VALUE!</v>
      </c>
    </row>
    <row r="28" spans="1:37" ht="11.25" customHeight="1" x14ac:dyDescent="0.2">
      <c r="A28" s="6" t="s">
        <v>26</v>
      </c>
      <c r="B28" s="22">
        <f t="shared" si="1"/>
        <v>4.0000000000000001E-3</v>
      </c>
      <c r="C28" s="22">
        <f t="shared" si="0"/>
        <v>4.0000000000000001E-3</v>
      </c>
      <c r="D28" s="22">
        <f t="shared" si="0"/>
        <v>5.0000000000000001E-3</v>
      </c>
      <c r="E28" s="22">
        <f t="shared" si="0"/>
        <v>9.0000000000000011E-3</v>
      </c>
      <c r="F28" s="22">
        <f t="shared" si="0"/>
        <v>1.4999999999999999E-2</v>
      </c>
      <c r="G28" s="22">
        <f t="shared" si="0"/>
        <v>1.9E-2</v>
      </c>
      <c r="H28" s="22">
        <f t="shared" si="0"/>
        <v>1.9E-2</v>
      </c>
      <c r="I28" s="22">
        <f t="shared" si="0"/>
        <v>1.7000000000000001E-2</v>
      </c>
      <c r="J28" s="22">
        <f t="shared" si="0"/>
        <v>1.8000000000000002E-2</v>
      </c>
      <c r="K28" s="22">
        <f t="shared" si="0"/>
        <v>2.4E-2</v>
      </c>
      <c r="L28" s="22">
        <f t="shared" si="0"/>
        <v>3.2000000000000001E-2</v>
      </c>
      <c r="M28" s="22">
        <f t="shared" si="0"/>
        <v>3.7999999999999999E-2</v>
      </c>
      <c r="N28" s="22">
        <f t="shared" si="0"/>
        <v>3.4000000000000002E-2</v>
      </c>
      <c r="O28" s="22">
        <f t="shared" si="0"/>
        <v>4.9000000000000002E-2</v>
      </c>
      <c r="P28" s="22">
        <f t="shared" si="0"/>
        <v>5.2999999999999999E-2</v>
      </c>
      <c r="Q28" s="22">
        <f t="shared" si="0"/>
        <v>0.06</v>
      </c>
      <c r="R28" s="22">
        <f t="shared" si="0"/>
        <v>7.400000000000001E-2</v>
      </c>
      <c r="S28" s="22">
        <f t="shared" si="0"/>
        <v>8.199999999999999E-2</v>
      </c>
      <c r="T28" s="22">
        <f t="shared" si="0"/>
        <v>9.0999999999999998E-2</v>
      </c>
      <c r="U28" s="22">
        <f t="shared" si="0"/>
        <v>9.6000000000000002E-2</v>
      </c>
      <c r="V28" s="21">
        <f t="shared" si="0"/>
        <v>9.9000000000000005E-2</v>
      </c>
      <c r="W28" s="21">
        <f t="shared" si="0"/>
        <v>0.111</v>
      </c>
      <c r="X28" s="21">
        <f t="shared" si="0"/>
        <v>0.114</v>
      </c>
      <c r="Y28" s="21">
        <f t="shared" si="0"/>
        <v>9.6999999999999989E-2</v>
      </c>
      <c r="Z28" s="21">
        <f t="shared" si="0"/>
        <v>9.6000000000000002E-2</v>
      </c>
      <c r="AA28" s="21">
        <f t="shared" si="0"/>
        <v>8.4000000000000005E-2</v>
      </c>
      <c r="AB28" s="21">
        <f t="shared" si="0"/>
        <v>8.3000000000000004E-2</v>
      </c>
      <c r="AC28" s="21">
        <f t="shared" si="0"/>
        <v>7.2999999999999995E-2</v>
      </c>
      <c r="AD28" s="21">
        <f t="shared" si="0"/>
        <v>5.5999999999999994E-2</v>
      </c>
      <c r="AE28" s="21">
        <f t="shared" si="0"/>
        <v>2.8999999999999998E-2</v>
      </c>
      <c r="AF28" s="21">
        <f t="shared" si="0"/>
        <v>2.4E-2</v>
      </c>
      <c r="AG28" s="21">
        <f t="shared" si="0"/>
        <v>3.2000000000000001E-2</v>
      </c>
      <c r="AH28" s="21">
        <f t="shared" si="0"/>
        <v>2.3E-2</v>
      </c>
      <c r="AI28" s="21">
        <f t="shared" si="0"/>
        <v>6.0000000000000001E-3</v>
      </c>
      <c r="AJ28" s="21">
        <f t="shared" si="0"/>
        <v>-4.0000000000000001E-3</v>
      </c>
      <c r="AK28" t="e">
        <f t="shared" si="0"/>
        <v>#VALUE!</v>
      </c>
    </row>
    <row r="29" spans="1:37" ht="11.25" customHeight="1" x14ac:dyDescent="0.2">
      <c r="A29" s="6" t="s">
        <v>27</v>
      </c>
      <c r="B29" s="22">
        <f t="shared" si="1"/>
        <v>2.7999999999999997E-2</v>
      </c>
      <c r="C29" s="22">
        <f t="shared" si="0"/>
        <v>2.8999999999999998E-2</v>
      </c>
      <c r="D29" s="22">
        <f t="shared" si="0"/>
        <v>3.3000000000000002E-2</v>
      </c>
      <c r="E29" s="22">
        <f t="shared" si="0"/>
        <v>3.9E-2</v>
      </c>
      <c r="F29" s="22">
        <f t="shared" si="0"/>
        <v>5.2000000000000005E-2</v>
      </c>
      <c r="G29" s="22">
        <f t="shared" si="0"/>
        <v>5.2999999999999999E-2</v>
      </c>
      <c r="H29" s="22">
        <f t="shared" si="0"/>
        <v>5.2999999999999999E-2</v>
      </c>
      <c r="I29" s="22">
        <f t="shared" si="0"/>
        <v>4.7E-2</v>
      </c>
      <c r="J29" s="22">
        <f t="shared" si="0"/>
        <v>4.9000000000000002E-2</v>
      </c>
      <c r="K29" s="22">
        <f t="shared" si="0"/>
        <v>5.5E-2</v>
      </c>
      <c r="L29" s="22">
        <f t="shared" si="0"/>
        <v>6.6000000000000003E-2</v>
      </c>
      <c r="M29" s="22">
        <f t="shared" si="0"/>
        <v>7.4999999999999997E-2</v>
      </c>
      <c r="N29" s="22">
        <f t="shared" si="0"/>
        <v>7.400000000000001E-2</v>
      </c>
      <c r="O29" s="22">
        <f t="shared" si="0"/>
        <v>7.9000000000000001E-2</v>
      </c>
      <c r="P29" s="22">
        <f t="shared" si="0"/>
        <v>8.4000000000000005E-2</v>
      </c>
      <c r="Q29" s="22">
        <f t="shared" si="0"/>
        <v>8.5999999999999993E-2</v>
      </c>
      <c r="R29" s="22">
        <f t="shared" si="0"/>
        <v>9.6000000000000002E-2</v>
      </c>
      <c r="S29" s="22">
        <f t="shared" si="0"/>
        <v>0.10800000000000001</v>
      </c>
      <c r="T29" s="22">
        <f t="shared" si="0"/>
        <v>0.126</v>
      </c>
      <c r="U29" s="22">
        <f t="shared" si="0"/>
        <v>0.14699999999999999</v>
      </c>
      <c r="V29" s="21">
        <f t="shared" si="0"/>
        <v>0.18600000000000003</v>
      </c>
      <c r="W29" s="21">
        <f t="shared" si="0"/>
        <v>0.20699999999999999</v>
      </c>
      <c r="X29" s="21">
        <f t="shared" si="0"/>
        <v>0.21899999999999997</v>
      </c>
      <c r="Y29" s="21">
        <f t="shared" si="0"/>
        <v>0.23100000000000001</v>
      </c>
      <c r="Z29" s="21">
        <f t="shared" si="0"/>
        <v>0.25</v>
      </c>
      <c r="AA29" s="21">
        <f t="shared" si="0"/>
        <v>0.26200000000000001</v>
      </c>
      <c r="AB29" s="21">
        <f t="shared" si="0"/>
        <v>0.25800000000000001</v>
      </c>
      <c r="AC29" s="21">
        <f t="shared" si="0"/>
        <v>0.25600000000000001</v>
      </c>
      <c r="AD29" s="21">
        <f t="shared" si="0"/>
        <v>0.24399999999999999</v>
      </c>
      <c r="AE29" s="21">
        <f t="shared" si="0"/>
        <v>0.21899999999999997</v>
      </c>
      <c r="AF29" s="21">
        <f t="shared" si="0"/>
        <v>0.19899999999999998</v>
      </c>
      <c r="AG29" s="21">
        <f t="shared" si="0"/>
        <v>0.17499999999999999</v>
      </c>
      <c r="AH29" s="21">
        <f t="shared" si="0"/>
        <v>0.14199999999999999</v>
      </c>
      <c r="AI29" s="21">
        <f t="shared" si="0"/>
        <v>0.122</v>
      </c>
      <c r="AJ29" s="21">
        <f t="shared" si="0"/>
        <v>9.6000000000000002E-2</v>
      </c>
      <c r="AK29" t="e">
        <f t="shared" si="0"/>
        <v>#VALUE!</v>
      </c>
    </row>
    <row r="30" spans="1:37" ht="11.25" customHeight="1" x14ac:dyDescent="0.2">
      <c r="A30" s="6" t="s">
        <v>28</v>
      </c>
      <c r="B30" s="22">
        <f t="shared" si="1"/>
        <v>3.4000000000000002E-2</v>
      </c>
      <c r="C30" s="22">
        <f t="shared" si="0"/>
        <v>3.6000000000000004E-2</v>
      </c>
      <c r="D30" s="22">
        <f t="shared" si="0"/>
        <v>3.6000000000000004E-2</v>
      </c>
      <c r="E30" s="22">
        <f t="shared" si="0"/>
        <v>4.4000000000000004E-2</v>
      </c>
      <c r="F30" s="22">
        <f t="shared" si="0"/>
        <v>5.0999999999999997E-2</v>
      </c>
      <c r="G30" s="22">
        <f t="shared" si="0"/>
        <v>4.5999999999999999E-2</v>
      </c>
      <c r="H30" s="22">
        <f t="shared" si="0"/>
        <v>4.0999999999999995E-2</v>
      </c>
      <c r="I30" s="22">
        <f t="shared" si="0"/>
        <v>4.7E-2</v>
      </c>
      <c r="J30" s="22">
        <f t="shared" si="0"/>
        <v>0.05</v>
      </c>
      <c r="K30" s="22">
        <f t="shared" si="0"/>
        <v>5.5999999999999994E-2</v>
      </c>
      <c r="L30" s="22">
        <f t="shared" si="0"/>
        <v>6.4000000000000001E-2</v>
      </c>
      <c r="M30" s="22">
        <f t="shared" si="0"/>
        <v>7.400000000000001E-2</v>
      </c>
      <c r="N30" s="22">
        <f t="shared" si="0"/>
        <v>0.08</v>
      </c>
      <c r="O30" s="22">
        <f t="shared" si="0"/>
        <v>8.6999999999999994E-2</v>
      </c>
      <c r="P30" s="22">
        <f t="shared" si="0"/>
        <v>8.1000000000000003E-2</v>
      </c>
      <c r="Q30" s="22">
        <f t="shared" si="0"/>
        <v>0.10199999999999999</v>
      </c>
      <c r="R30" s="22">
        <f t="shared" si="0"/>
        <v>0.114</v>
      </c>
      <c r="S30" s="22">
        <f t="shared" si="0"/>
        <v>0.128</v>
      </c>
      <c r="T30" s="22">
        <f t="shared" si="0"/>
        <v>0.14199999999999999</v>
      </c>
      <c r="U30" s="22">
        <f t="shared" si="0"/>
        <v>0.14199999999999999</v>
      </c>
      <c r="V30" s="21">
        <f t="shared" si="0"/>
        <v>0.14800000000000002</v>
      </c>
      <c r="W30" s="21">
        <f t="shared" si="0"/>
        <v>0.157</v>
      </c>
      <c r="X30" s="21">
        <f t="shared" si="0"/>
        <v>0.16399999999999998</v>
      </c>
      <c r="Y30" s="21">
        <f t="shared" si="0"/>
        <v>0.161</v>
      </c>
      <c r="Z30" s="21">
        <f t="shared" si="0"/>
        <v>0.153</v>
      </c>
      <c r="AA30" s="21">
        <f t="shared" si="0"/>
        <v>0.159</v>
      </c>
      <c r="AB30" s="21">
        <f t="shared" si="0"/>
        <v>0.17199999999999999</v>
      </c>
      <c r="AC30" s="21">
        <f t="shared" si="0"/>
        <v>0.152</v>
      </c>
      <c r="AD30" s="21">
        <f t="shared" si="0"/>
        <v>0.14000000000000001</v>
      </c>
      <c r="AE30" s="21">
        <f t="shared" si="0"/>
        <v>0.125</v>
      </c>
      <c r="AF30" s="21">
        <f t="shared" si="0"/>
        <v>0.11</v>
      </c>
      <c r="AG30" s="21">
        <f t="shared" si="0"/>
        <v>0.10300000000000001</v>
      </c>
      <c r="AH30" s="21">
        <f t="shared" si="0"/>
        <v>9.5000000000000001E-2</v>
      </c>
      <c r="AI30" s="21">
        <f t="shared" si="0"/>
        <v>7.6999999999999999E-2</v>
      </c>
      <c r="AJ30" s="21">
        <f t="shared" si="0"/>
        <v>6.3E-2</v>
      </c>
      <c r="AK30" t="e">
        <f t="shared" si="0"/>
        <v>#VALUE!</v>
      </c>
    </row>
    <row r="31" spans="1:37" ht="11.25" customHeight="1" x14ac:dyDescent="0.2">
      <c r="A31" s="6" t="s">
        <v>29</v>
      </c>
      <c r="B31" s="22">
        <f t="shared" si="1"/>
        <v>1.8000000000000002E-2</v>
      </c>
      <c r="C31" s="22">
        <f t="shared" si="0"/>
        <v>0.02</v>
      </c>
      <c r="D31" s="22">
        <f t="shared" si="0"/>
        <v>2.5000000000000001E-2</v>
      </c>
      <c r="E31" s="22">
        <f t="shared" si="0"/>
        <v>2.5000000000000001E-2</v>
      </c>
      <c r="F31" s="22">
        <f t="shared" si="0"/>
        <v>2.7000000000000003E-2</v>
      </c>
      <c r="G31" s="22">
        <f t="shared" si="0"/>
        <v>3.2000000000000001E-2</v>
      </c>
      <c r="H31" s="22">
        <f t="shared" si="0"/>
        <v>3.5000000000000003E-2</v>
      </c>
      <c r="I31" s="22">
        <f t="shared" si="0"/>
        <v>3.7999999999999999E-2</v>
      </c>
      <c r="J31" s="22">
        <f t="shared" si="0"/>
        <v>0.04</v>
      </c>
      <c r="K31" s="22">
        <f t="shared" si="0"/>
        <v>5.2000000000000005E-2</v>
      </c>
      <c r="L31" s="22">
        <f t="shared" si="0"/>
        <v>6.5000000000000002E-2</v>
      </c>
      <c r="M31" s="22">
        <f t="shared" si="0"/>
        <v>6.7000000000000004E-2</v>
      </c>
      <c r="N31" s="22">
        <f t="shared" si="0"/>
        <v>6.7000000000000004E-2</v>
      </c>
      <c r="O31" s="22">
        <f t="shared" si="0"/>
        <v>7.2000000000000008E-2</v>
      </c>
      <c r="P31" s="22">
        <f t="shared" si="0"/>
        <v>7.9000000000000001E-2</v>
      </c>
      <c r="Q31" s="22">
        <f t="shared" si="0"/>
        <v>9.6000000000000002E-2</v>
      </c>
      <c r="R31" s="22">
        <f t="shared" si="0"/>
        <v>0.11699999999999999</v>
      </c>
      <c r="S31" s="22">
        <f t="shared" si="0"/>
        <v>0.124</v>
      </c>
      <c r="T31" s="22">
        <f t="shared" si="0"/>
        <v>0.13</v>
      </c>
      <c r="U31" s="22">
        <f t="shared" si="0"/>
        <v>0.13</v>
      </c>
      <c r="V31" s="21">
        <f t="shared" si="0"/>
        <v>0.13300000000000001</v>
      </c>
      <c r="W31" s="21">
        <f t="shared" si="0"/>
        <v>0.13400000000000001</v>
      </c>
      <c r="X31" s="21">
        <f t="shared" si="0"/>
        <v>0.13500000000000001</v>
      </c>
      <c r="Y31" s="21">
        <f t="shared" si="0"/>
        <v>0.14599999999999999</v>
      </c>
      <c r="Z31" s="21">
        <f t="shared" si="0"/>
        <v>0.14099999999999999</v>
      </c>
      <c r="AA31" s="21">
        <f t="shared" si="0"/>
        <v>0.13400000000000001</v>
      </c>
      <c r="AB31" s="21">
        <f t="shared" si="0"/>
        <v>0.13400000000000001</v>
      </c>
      <c r="AC31" s="21">
        <f t="shared" si="0"/>
        <v>0.122</v>
      </c>
      <c r="AD31" s="21">
        <f t="shared" si="0"/>
        <v>0.10400000000000001</v>
      </c>
      <c r="AE31" s="21">
        <f t="shared" si="0"/>
        <v>9.6000000000000002E-2</v>
      </c>
      <c r="AF31" s="21">
        <f t="shared" si="0"/>
        <v>9.3000000000000013E-2</v>
      </c>
      <c r="AG31" s="21">
        <f t="shared" si="0"/>
        <v>8.900000000000001E-2</v>
      </c>
      <c r="AH31" s="21">
        <f t="shared" si="0"/>
        <v>9.3000000000000013E-2</v>
      </c>
      <c r="AI31" s="21">
        <f t="shared" si="0"/>
        <v>9.1999999999999998E-2</v>
      </c>
      <c r="AJ31" s="21">
        <f t="shared" si="0"/>
        <v>8.3000000000000004E-2</v>
      </c>
      <c r="AK31" t="e">
        <f t="shared" si="0"/>
        <v>#VALUE!</v>
      </c>
    </row>
    <row r="32" spans="1:37" ht="11.25" customHeight="1" x14ac:dyDescent="0.2">
      <c r="A32" s="6" t="s">
        <v>30</v>
      </c>
      <c r="B32" s="22">
        <f t="shared" si="1"/>
        <v>6.0000000000000001E-3</v>
      </c>
      <c r="C32" s="22">
        <f t="shared" ref="C32:AK32" si="3">C18%</f>
        <v>1.9E-2</v>
      </c>
      <c r="D32" s="22">
        <f t="shared" si="3"/>
        <v>1.8000000000000002E-2</v>
      </c>
      <c r="E32" s="22">
        <f t="shared" si="3"/>
        <v>2.1000000000000001E-2</v>
      </c>
      <c r="F32" s="22">
        <f t="shared" si="3"/>
        <v>2.7999999999999997E-2</v>
      </c>
      <c r="G32" s="22">
        <f t="shared" si="3"/>
        <v>2.4E-2</v>
      </c>
      <c r="H32" s="22">
        <f t="shared" si="3"/>
        <v>1.8000000000000002E-2</v>
      </c>
      <c r="I32" s="22">
        <f t="shared" si="3"/>
        <v>1.8000000000000002E-2</v>
      </c>
      <c r="J32" s="22">
        <f t="shared" si="3"/>
        <v>2.5000000000000001E-2</v>
      </c>
      <c r="K32" s="22">
        <f t="shared" si="3"/>
        <v>0.03</v>
      </c>
      <c r="L32" s="22">
        <f t="shared" si="3"/>
        <v>3.3000000000000002E-2</v>
      </c>
      <c r="M32" s="22">
        <f t="shared" si="3"/>
        <v>3.9E-2</v>
      </c>
      <c r="N32" s="22">
        <f t="shared" si="3"/>
        <v>4.4999999999999998E-2</v>
      </c>
      <c r="O32" s="22">
        <f t="shared" si="3"/>
        <v>3.9E-2</v>
      </c>
      <c r="P32" s="22">
        <f t="shared" si="3"/>
        <v>4.4000000000000004E-2</v>
      </c>
      <c r="Q32" s="22">
        <f t="shared" si="3"/>
        <v>6.3E-2</v>
      </c>
      <c r="R32" s="22">
        <f t="shared" si="3"/>
        <v>6.6000000000000003E-2</v>
      </c>
      <c r="S32" s="22">
        <f t="shared" si="3"/>
        <v>7.4999999999999997E-2</v>
      </c>
      <c r="T32" s="22">
        <f t="shared" si="3"/>
        <v>8.900000000000001E-2</v>
      </c>
      <c r="U32" s="22">
        <f t="shared" si="3"/>
        <v>8.3000000000000004E-2</v>
      </c>
      <c r="V32" s="21">
        <f t="shared" si="3"/>
        <v>9.5000000000000001E-2</v>
      </c>
      <c r="W32" s="21">
        <f t="shared" si="3"/>
        <v>0.10300000000000001</v>
      </c>
      <c r="X32" s="21">
        <f t="shared" si="3"/>
        <v>9.8000000000000004E-2</v>
      </c>
      <c r="Y32" s="21">
        <f t="shared" si="3"/>
        <v>0.10099999999999999</v>
      </c>
      <c r="Z32" s="21">
        <f t="shared" si="3"/>
        <v>0.10800000000000001</v>
      </c>
      <c r="AA32" s="21">
        <f t="shared" si="3"/>
        <v>9.6000000000000002E-2</v>
      </c>
      <c r="AB32" s="21">
        <f t="shared" si="3"/>
        <v>9.6999999999999989E-2</v>
      </c>
      <c r="AC32" s="21">
        <f t="shared" si="3"/>
        <v>8.1000000000000003E-2</v>
      </c>
      <c r="AD32" s="21">
        <f t="shared" si="3"/>
        <v>7.6999999999999999E-2</v>
      </c>
      <c r="AE32" s="21">
        <f t="shared" si="3"/>
        <v>6.7000000000000004E-2</v>
      </c>
      <c r="AF32" s="21">
        <f t="shared" si="3"/>
        <v>6.3E-2</v>
      </c>
      <c r="AG32" s="21">
        <f t="shared" si="3"/>
        <v>6.3E-2</v>
      </c>
      <c r="AH32" s="21">
        <f t="shared" si="3"/>
        <v>4.4999999999999998E-2</v>
      </c>
      <c r="AI32" s="21">
        <f t="shared" si="3"/>
        <v>3.7000000000000005E-2</v>
      </c>
      <c r="AJ32" s="21">
        <f t="shared" si="3"/>
        <v>0.04</v>
      </c>
      <c r="AK32" t="e">
        <f t="shared" si="3"/>
        <v>#VALUE!</v>
      </c>
    </row>
    <row r="36" spans="1:37" ht="11.25" customHeight="1" x14ac:dyDescent="0.2">
      <c r="A36" t="s">
        <v>77</v>
      </c>
      <c r="B36" s="21">
        <f>B29-B25</f>
        <v>3.0999999999999996E-2</v>
      </c>
      <c r="C36" s="21">
        <f t="shared" ref="C36:AJ36" si="4">C29-C25</f>
        <v>1.9999999999999997E-2</v>
      </c>
      <c r="D36" s="21">
        <f t="shared" si="4"/>
        <v>2.4E-2</v>
      </c>
      <c r="E36" s="21">
        <f t="shared" si="4"/>
        <v>2.5999999999999999E-2</v>
      </c>
      <c r="F36" s="21">
        <f t="shared" si="4"/>
        <v>3.6000000000000004E-2</v>
      </c>
      <c r="G36" s="21">
        <f t="shared" si="4"/>
        <v>3.3000000000000002E-2</v>
      </c>
      <c r="H36" s="21">
        <f t="shared" si="4"/>
        <v>3.4000000000000002E-2</v>
      </c>
      <c r="I36" s="21">
        <f t="shared" si="4"/>
        <v>2.4999999999999998E-2</v>
      </c>
      <c r="J36" s="21">
        <f t="shared" si="4"/>
        <v>1.9000000000000003E-2</v>
      </c>
      <c r="K36" s="21">
        <f t="shared" si="4"/>
        <v>2.0999999999999998E-2</v>
      </c>
      <c r="L36" s="21">
        <f t="shared" si="4"/>
        <v>2.5000000000000008E-2</v>
      </c>
      <c r="M36" s="21">
        <f t="shared" si="4"/>
        <v>2.5999999999999995E-2</v>
      </c>
      <c r="N36" s="21">
        <f t="shared" si="4"/>
        <v>2.4000000000000007E-2</v>
      </c>
      <c r="O36" s="21">
        <f t="shared" si="4"/>
        <v>2.8000000000000004E-2</v>
      </c>
      <c r="P36" s="21">
        <f t="shared" si="4"/>
        <v>2.5000000000000001E-2</v>
      </c>
      <c r="Q36" s="21">
        <f t="shared" si="4"/>
        <v>1.1999999999999983E-2</v>
      </c>
      <c r="R36" s="21">
        <f t="shared" si="4"/>
        <v>2.1000000000000005E-2</v>
      </c>
      <c r="S36" s="21">
        <f t="shared" si="4"/>
        <v>2.700000000000001E-2</v>
      </c>
      <c r="T36" s="21">
        <f t="shared" si="4"/>
        <v>3.9000000000000007E-2</v>
      </c>
      <c r="U36" s="21">
        <f t="shared" si="4"/>
        <v>5.7999999999999982E-2</v>
      </c>
      <c r="V36" s="21">
        <f t="shared" si="4"/>
        <v>9.4000000000000028E-2</v>
      </c>
      <c r="W36" s="21">
        <f t="shared" si="4"/>
        <v>0.10799999999999998</v>
      </c>
      <c r="X36" s="21">
        <f t="shared" si="4"/>
        <v>0.11299999999999998</v>
      </c>
      <c r="Y36" s="21">
        <f t="shared" si="4"/>
        <v>0.13</v>
      </c>
      <c r="Z36" s="21">
        <f t="shared" si="4"/>
        <v>0.158</v>
      </c>
      <c r="AA36" s="21">
        <f t="shared" si="4"/>
        <v>0.17500000000000002</v>
      </c>
      <c r="AB36" s="21">
        <f t="shared" si="4"/>
        <v>0.17299999999999999</v>
      </c>
      <c r="AC36" s="21">
        <f t="shared" si="4"/>
        <v>0.187</v>
      </c>
      <c r="AD36" s="21">
        <f t="shared" si="4"/>
        <v>0.17399999999999999</v>
      </c>
      <c r="AE36" s="21">
        <f t="shared" si="4"/>
        <v>0.15799999999999997</v>
      </c>
      <c r="AF36" s="21">
        <f t="shared" si="4"/>
        <v>0.14399999999999999</v>
      </c>
      <c r="AG36" s="21">
        <f t="shared" si="4"/>
        <v>0.122</v>
      </c>
      <c r="AH36" s="21">
        <f t="shared" si="4"/>
        <v>8.9999999999999983E-2</v>
      </c>
      <c r="AI36" s="21">
        <f t="shared" si="4"/>
        <v>7.9000000000000001E-2</v>
      </c>
      <c r="AJ36" s="21">
        <f t="shared" si="4"/>
        <v>6.7000000000000004E-2</v>
      </c>
      <c r="AK36" s="23"/>
    </row>
    <row r="39" spans="1:37" ht="11.25" customHeight="1" x14ac:dyDescent="0.2">
      <c r="A39" s="27" t="s">
        <v>79</v>
      </c>
    </row>
    <row r="40" spans="1:37" ht="11.25" customHeight="1" x14ac:dyDescent="0.2">
      <c r="A40" s="6" t="s">
        <v>78</v>
      </c>
      <c r="B40" s="16">
        <v>-0.22</v>
      </c>
      <c r="C40" s="16">
        <v>-0.18</v>
      </c>
      <c r="D40" s="16">
        <v>-0.06</v>
      </c>
      <c r="E40" s="16">
        <v>0.03</v>
      </c>
      <c r="F40" s="16">
        <v>0.08</v>
      </c>
      <c r="G40" s="16">
        <v>0.23</v>
      </c>
      <c r="H40" s="16">
        <v>0.16</v>
      </c>
      <c r="I40" s="16">
        <v>0.02</v>
      </c>
      <c r="J40" s="16">
        <v>-0.09</v>
      </c>
      <c r="K40" s="16">
        <v>0.06</v>
      </c>
      <c r="L40" s="16">
        <v>0.22</v>
      </c>
      <c r="M40" s="16">
        <v>0.17</v>
      </c>
      <c r="N40" s="16">
        <v>0.13</v>
      </c>
      <c r="O40" s="16">
        <v>0.4</v>
      </c>
      <c r="P40" s="16">
        <v>0.77</v>
      </c>
      <c r="Q40" s="16">
        <v>0.89</v>
      </c>
      <c r="R40" s="16">
        <v>1.38</v>
      </c>
      <c r="S40" s="16">
        <v>1.69</v>
      </c>
      <c r="T40" s="16">
        <v>2.25</v>
      </c>
      <c r="U40" s="16">
        <v>1.91</v>
      </c>
      <c r="V40" s="16">
        <v>1.85</v>
      </c>
      <c r="W40" s="16">
        <v>2.61</v>
      </c>
      <c r="X40" s="16">
        <v>3</v>
      </c>
      <c r="Y40" s="16">
        <v>2.83</v>
      </c>
      <c r="Z40" s="16">
        <v>2.85</v>
      </c>
      <c r="AA40" s="16">
        <v>2.92</v>
      </c>
      <c r="AB40" s="16">
        <v>3.07</v>
      </c>
      <c r="AC40" s="16">
        <v>3.1</v>
      </c>
      <c r="AD40" s="16">
        <v>3.08</v>
      </c>
      <c r="AE40" s="16">
        <v>3.09</v>
      </c>
      <c r="AF40" s="16">
        <v>3.05</v>
      </c>
      <c r="AG40" s="16">
        <v>3.14</v>
      </c>
      <c r="AH40" s="16">
        <v>3.22</v>
      </c>
      <c r="AI40" s="16">
        <v>3.36</v>
      </c>
      <c r="AJ40" s="16">
        <v>3.58</v>
      </c>
      <c r="AK40" s="9" t="s">
        <v>73</v>
      </c>
    </row>
    <row r="41" spans="1:37" ht="11.25" customHeight="1" x14ac:dyDescent="0.2">
      <c r="A41" s="6" t="s">
        <v>24</v>
      </c>
      <c r="B41" s="15">
        <v>0.19</v>
      </c>
      <c r="C41" s="15">
        <v>0.19</v>
      </c>
      <c r="D41" s="15">
        <v>0.15</v>
      </c>
      <c r="E41" s="15">
        <v>0.14000000000000001</v>
      </c>
      <c r="F41" s="15">
        <v>0.14000000000000001</v>
      </c>
      <c r="G41" s="15">
        <v>0.14000000000000001</v>
      </c>
      <c r="H41" s="15">
        <v>0.14000000000000001</v>
      </c>
      <c r="I41" s="15">
        <v>0.14000000000000001</v>
      </c>
      <c r="J41" s="15">
        <v>0.14000000000000001</v>
      </c>
      <c r="K41" s="15">
        <v>0.15</v>
      </c>
      <c r="L41" s="15">
        <v>0.25</v>
      </c>
      <c r="M41" s="15">
        <v>0.25</v>
      </c>
      <c r="N41" s="15">
        <v>0.44</v>
      </c>
      <c r="O41" s="15">
        <v>0.56999999999999995</v>
      </c>
      <c r="P41" s="15">
        <v>0.61</v>
      </c>
      <c r="Q41" s="15">
        <v>1.0900000000000001</v>
      </c>
      <c r="R41" s="15">
        <v>1.62</v>
      </c>
      <c r="S41" s="15">
        <v>1.62</v>
      </c>
      <c r="T41" s="15">
        <v>1.77</v>
      </c>
      <c r="U41" s="15">
        <v>1.85</v>
      </c>
      <c r="V41" s="15">
        <v>1.85</v>
      </c>
      <c r="W41" s="15">
        <v>1.85</v>
      </c>
      <c r="X41" s="15">
        <v>1.85</v>
      </c>
      <c r="Y41" s="15">
        <v>1.85</v>
      </c>
      <c r="Z41" s="15">
        <v>1.85</v>
      </c>
      <c r="AA41" s="15">
        <v>1.85</v>
      </c>
      <c r="AB41" s="15">
        <v>2.73</v>
      </c>
      <c r="AC41" s="15">
        <v>4.21</v>
      </c>
      <c r="AD41" s="15">
        <v>4.03</v>
      </c>
      <c r="AE41" s="15">
        <v>4.03</v>
      </c>
      <c r="AF41" s="15">
        <v>4.03</v>
      </c>
      <c r="AG41" s="15">
        <v>4.03</v>
      </c>
      <c r="AH41" s="15">
        <v>4.03</v>
      </c>
      <c r="AI41" s="15">
        <v>4.03</v>
      </c>
      <c r="AJ41" s="15">
        <v>4.03</v>
      </c>
      <c r="AK41" s="8" t="s">
        <v>73</v>
      </c>
    </row>
    <row r="42" spans="1:37" ht="11.25" customHeight="1" x14ac:dyDescent="0.2">
      <c r="A42" s="6" t="s">
        <v>25</v>
      </c>
      <c r="B42" s="16">
        <v>1.26</v>
      </c>
      <c r="C42" s="16">
        <v>1.28</v>
      </c>
      <c r="D42" s="16">
        <v>1.49</v>
      </c>
      <c r="E42" s="16">
        <v>1.87</v>
      </c>
      <c r="F42" s="16">
        <v>1.86</v>
      </c>
      <c r="G42" s="16">
        <v>1.74</v>
      </c>
      <c r="H42" s="16">
        <v>1.67</v>
      </c>
      <c r="I42" s="16">
        <v>1.72</v>
      </c>
      <c r="J42" s="16">
        <v>1.74</v>
      </c>
      <c r="K42" s="16">
        <v>1.9</v>
      </c>
      <c r="L42" s="16">
        <v>2.34</v>
      </c>
      <c r="M42" s="16">
        <v>2.62</v>
      </c>
      <c r="N42" s="16">
        <v>2.62</v>
      </c>
      <c r="O42" s="16">
        <v>3.12</v>
      </c>
      <c r="P42" s="16">
        <v>3.03</v>
      </c>
      <c r="Q42" s="16">
        <v>3.53</v>
      </c>
      <c r="R42" s="16">
        <v>4.01</v>
      </c>
      <c r="S42" s="16">
        <v>4.6100000000000003</v>
      </c>
      <c r="T42" s="16">
        <v>5.12</v>
      </c>
      <c r="U42" s="16">
        <v>4.4000000000000004</v>
      </c>
      <c r="V42" s="16">
        <v>4.1100000000000003</v>
      </c>
      <c r="W42" s="16">
        <v>4.72</v>
      </c>
      <c r="X42" s="16">
        <v>5.52</v>
      </c>
      <c r="Y42" s="16">
        <v>5.1100000000000003</v>
      </c>
      <c r="Z42" s="16">
        <v>4.71</v>
      </c>
      <c r="AA42" s="16">
        <v>4.47</v>
      </c>
      <c r="AB42" s="16">
        <v>4.6100000000000003</v>
      </c>
      <c r="AC42" s="16">
        <v>4.67</v>
      </c>
      <c r="AD42" s="16">
        <v>4.6500000000000004</v>
      </c>
      <c r="AE42" s="16">
        <v>4.5</v>
      </c>
      <c r="AF42" s="16">
        <v>4.3499999999999996</v>
      </c>
      <c r="AG42" s="16">
        <v>4.1500000000000004</v>
      </c>
      <c r="AH42" s="16">
        <v>4.26</v>
      </c>
      <c r="AI42" s="16">
        <v>4.49</v>
      </c>
      <c r="AJ42" s="16">
        <v>4.72</v>
      </c>
      <c r="AK42" s="9" t="s">
        <v>73</v>
      </c>
    </row>
    <row r="43" spans="1:37" ht="11.25" customHeight="1" x14ac:dyDescent="0.2">
      <c r="A43" s="6" t="s">
        <v>26</v>
      </c>
      <c r="B43" s="15">
        <v>-0.47</v>
      </c>
      <c r="C43" s="15">
        <v>-0.44</v>
      </c>
      <c r="D43" s="15">
        <v>-0.28000000000000003</v>
      </c>
      <c r="E43" s="15">
        <v>-0.03</v>
      </c>
      <c r="F43" s="15">
        <v>0</v>
      </c>
      <c r="G43" s="15">
        <v>0.11</v>
      </c>
      <c r="H43" s="15">
        <v>0.11</v>
      </c>
      <c r="I43" s="15">
        <v>-0.05</v>
      </c>
      <c r="J43" s="15">
        <v>-0.16</v>
      </c>
      <c r="K43" s="15">
        <v>-0.01</v>
      </c>
      <c r="L43" s="15">
        <v>0.1</v>
      </c>
      <c r="M43" s="15">
        <v>0.01</v>
      </c>
      <c r="N43" s="15">
        <v>-0.08</v>
      </c>
      <c r="O43" s="15">
        <v>0.11</v>
      </c>
      <c r="P43" s="15">
        <v>0.46</v>
      </c>
      <c r="Q43" s="15">
        <v>0.56999999999999995</v>
      </c>
      <c r="R43" s="15">
        <v>1.04</v>
      </c>
      <c r="S43" s="15">
        <v>1.3</v>
      </c>
      <c r="T43" s="15">
        <v>1.84</v>
      </c>
      <c r="U43" s="15">
        <v>1.59</v>
      </c>
      <c r="V43" s="15">
        <v>1.38</v>
      </c>
      <c r="W43" s="15">
        <v>2.2000000000000002</v>
      </c>
      <c r="X43" s="15">
        <v>2.6</v>
      </c>
      <c r="Y43" s="15">
        <v>2.38</v>
      </c>
      <c r="Z43" s="15">
        <v>2.29</v>
      </c>
      <c r="AA43" s="15">
        <v>2.4300000000000002</v>
      </c>
      <c r="AB43" s="15">
        <v>2.5499999999999998</v>
      </c>
      <c r="AC43" s="15">
        <v>2.5499999999999998</v>
      </c>
      <c r="AD43" s="15">
        <v>2.6</v>
      </c>
      <c r="AE43" s="15">
        <v>2.54</v>
      </c>
      <c r="AF43" s="15">
        <v>2.57</v>
      </c>
      <c r="AG43" s="15">
        <v>2.7</v>
      </c>
      <c r="AH43" s="15">
        <v>2.77</v>
      </c>
      <c r="AI43" s="15">
        <v>2.83</v>
      </c>
      <c r="AJ43" s="15">
        <v>3.05</v>
      </c>
      <c r="AK43" s="8" t="s">
        <v>73</v>
      </c>
    </row>
    <row r="44" spans="1:37" ht="11.25" customHeight="1" x14ac:dyDescent="0.2">
      <c r="A44" s="6" t="s">
        <v>27</v>
      </c>
      <c r="B44" s="16">
        <v>2.16</v>
      </c>
      <c r="C44" s="16">
        <v>2.2200000000000002</v>
      </c>
      <c r="D44" s="16">
        <v>2.4300000000000002</v>
      </c>
      <c r="E44" s="16">
        <v>2.68</v>
      </c>
      <c r="F44" s="16">
        <v>2.69</v>
      </c>
      <c r="G44" s="16">
        <v>2.94</v>
      </c>
      <c r="H44" s="16">
        <v>2.85</v>
      </c>
      <c r="I44" s="16">
        <v>2.83</v>
      </c>
      <c r="J44" s="16">
        <v>2.84</v>
      </c>
      <c r="K44" s="16">
        <v>3.1</v>
      </c>
      <c r="L44" s="16">
        <v>3.69</v>
      </c>
      <c r="M44" s="16">
        <v>4.07</v>
      </c>
      <c r="N44" s="16">
        <v>4.4000000000000004</v>
      </c>
      <c r="O44" s="16">
        <v>4.71</v>
      </c>
      <c r="P44" s="16">
        <v>4.8600000000000003</v>
      </c>
      <c r="Q44" s="16">
        <v>5.92</v>
      </c>
      <c r="R44" s="16">
        <v>6.59</v>
      </c>
      <c r="S44" s="16">
        <v>7.2</v>
      </c>
      <c r="T44" s="16">
        <v>7.95</v>
      </c>
      <c r="U44" s="16">
        <v>8.51</v>
      </c>
      <c r="V44" s="16">
        <v>8.19</v>
      </c>
      <c r="W44" s="16">
        <v>9.23</v>
      </c>
      <c r="X44" s="16">
        <v>10.25</v>
      </c>
      <c r="Y44" s="16">
        <v>8.81</v>
      </c>
      <c r="Z44" s="16">
        <v>8.6300000000000008</v>
      </c>
      <c r="AA44" s="16">
        <v>7.76</v>
      </c>
      <c r="AB44" s="16">
        <v>8.23</v>
      </c>
      <c r="AC44" s="16">
        <v>8.5399999999999991</v>
      </c>
      <c r="AD44" s="16">
        <v>8.35</v>
      </c>
      <c r="AE44" s="16">
        <v>7.78</v>
      </c>
      <c r="AF44" s="16">
        <v>7.2</v>
      </c>
      <c r="AG44" s="16">
        <v>7.1</v>
      </c>
      <c r="AH44" s="16">
        <v>7.4</v>
      </c>
      <c r="AI44" s="16">
        <v>7.08</v>
      </c>
      <c r="AJ44" s="16">
        <v>7.53</v>
      </c>
      <c r="AK44" s="9" t="s">
        <v>73</v>
      </c>
    </row>
    <row r="45" spans="1:37" ht="11.25" customHeight="1" x14ac:dyDescent="0.2">
      <c r="A45" s="6" t="s">
        <v>28</v>
      </c>
      <c r="B45" s="15">
        <v>1.29</v>
      </c>
      <c r="C45" s="15">
        <v>1.19</v>
      </c>
      <c r="D45" s="15">
        <v>1.31</v>
      </c>
      <c r="E45" s="15">
        <v>1.53</v>
      </c>
      <c r="F45" s="15">
        <v>1.55</v>
      </c>
      <c r="G45" s="15">
        <v>1.82</v>
      </c>
      <c r="H45" s="15">
        <v>1.78</v>
      </c>
      <c r="I45" s="15">
        <v>1.61</v>
      </c>
      <c r="J45" s="15">
        <v>1.6</v>
      </c>
      <c r="K45" s="15">
        <v>1.87</v>
      </c>
      <c r="L45" s="15">
        <v>2.63</v>
      </c>
      <c r="M45" s="15">
        <v>3.12</v>
      </c>
      <c r="N45" s="15">
        <v>3.35</v>
      </c>
      <c r="O45" s="15">
        <v>4</v>
      </c>
      <c r="P45" s="15">
        <v>3.95</v>
      </c>
      <c r="Q45" s="15">
        <v>4.83</v>
      </c>
      <c r="R45" s="15">
        <v>5.96</v>
      </c>
      <c r="S45" s="15">
        <v>6.64</v>
      </c>
      <c r="T45" s="15">
        <v>7.14</v>
      </c>
      <c r="U45" s="15">
        <v>6.37</v>
      </c>
      <c r="V45" s="15">
        <v>5.8</v>
      </c>
      <c r="W45" s="15">
        <v>6.28</v>
      </c>
      <c r="X45" s="15">
        <v>7.82</v>
      </c>
      <c r="Y45" s="15">
        <v>7.24</v>
      </c>
      <c r="Z45" s="15">
        <v>6.61</v>
      </c>
      <c r="AA45" s="15">
        <v>6.02</v>
      </c>
      <c r="AB45" s="15">
        <v>6.18</v>
      </c>
      <c r="AC45" s="15">
        <v>6.14</v>
      </c>
      <c r="AD45" s="15">
        <v>6.07</v>
      </c>
      <c r="AE45" s="15">
        <v>5.93</v>
      </c>
      <c r="AF45" s="15">
        <v>5.91</v>
      </c>
      <c r="AG45" s="15">
        <v>5.54</v>
      </c>
      <c r="AH45" s="15">
        <v>5.59</v>
      </c>
      <c r="AI45" s="15">
        <v>5.68</v>
      </c>
      <c r="AJ45" s="15">
        <v>5.84</v>
      </c>
      <c r="AK45" s="8" t="s">
        <v>73</v>
      </c>
    </row>
    <row r="46" spans="1:37" ht="11.25" customHeight="1" x14ac:dyDescent="0.2">
      <c r="A46" s="6" t="s">
        <v>29</v>
      </c>
      <c r="B46" s="16">
        <v>2.94</v>
      </c>
      <c r="C46" s="16">
        <v>2.72</v>
      </c>
      <c r="D46" s="16">
        <v>2.65</v>
      </c>
      <c r="E46" s="16">
        <v>2.96</v>
      </c>
      <c r="F46" s="16">
        <v>2.84</v>
      </c>
      <c r="G46" s="16">
        <v>3.03</v>
      </c>
      <c r="H46" s="16">
        <v>3.11</v>
      </c>
      <c r="I46" s="16">
        <v>3.24</v>
      </c>
      <c r="J46" s="16">
        <v>3.72</v>
      </c>
      <c r="K46" s="16">
        <v>4</v>
      </c>
      <c r="L46" s="16">
        <v>4.75</v>
      </c>
      <c r="M46" s="16">
        <v>5.1100000000000003</v>
      </c>
      <c r="N46" s="16">
        <v>5.37</v>
      </c>
      <c r="O46" s="16">
        <v>5.37</v>
      </c>
      <c r="P46" s="16">
        <v>5.6</v>
      </c>
      <c r="Q46" s="16">
        <v>6.2</v>
      </c>
      <c r="R46" s="16">
        <v>6.61</v>
      </c>
      <c r="S46" s="16">
        <v>7.84</v>
      </c>
      <c r="T46" s="16">
        <v>8.74</v>
      </c>
      <c r="U46" s="16">
        <v>9.26</v>
      </c>
      <c r="V46" s="16">
        <v>8.14</v>
      </c>
      <c r="W46" s="16">
        <v>8.07</v>
      </c>
      <c r="X46" s="16">
        <v>9.1300000000000008</v>
      </c>
      <c r="Y46" s="16">
        <v>7.65</v>
      </c>
      <c r="Z46" s="16">
        <v>7.17</v>
      </c>
      <c r="AA46" s="16">
        <v>6.8</v>
      </c>
      <c r="AB46" s="16">
        <v>7.46</v>
      </c>
      <c r="AC46" s="16">
        <v>7.1</v>
      </c>
      <c r="AD46" s="16">
        <v>7</v>
      </c>
      <c r="AE46" s="16">
        <v>6.3</v>
      </c>
      <c r="AF46" s="16">
        <v>6.11</v>
      </c>
      <c r="AG46" s="16">
        <v>6.2</v>
      </c>
      <c r="AH46" s="16">
        <v>6.34</v>
      </c>
      <c r="AI46" s="16">
        <v>7.48</v>
      </c>
      <c r="AJ46" s="16">
        <v>6.81</v>
      </c>
      <c r="AK46" s="9" t="s">
        <v>73</v>
      </c>
    </row>
    <row r="47" spans="1:37" ht="11.25" customHeight="1" x14ac:dyDescent="0.2">
      <c r="A47" s="6" t="s">
        <v>30</v>
      </c>
      <c r="B47" s="15">
        <v>0.01</v>
      </c>
      <c r="C47" s="15">
        <v>7.0000000000000007E-2</v>
      </c>
      <c r="D47" s="15">
        <v>0.25</v>
      </c>
      <c r="E47" s="15">
        <v>0.4</v>
      </c>
      <c r="F47" s="15">
        <v>0.37</v>
      </c>
      <c r="G47" s="15">
        <v>0.42</v>
      </c>
      <c r="H47" s="15">
        <v>0.36</v>
      </c>
      <c r="I47" s="15">
        <v>0.18</v>
      </c>
      <c r="J47" s="15">
        <v>0.11</v>
      </c>
      <c r="K47" s="15">
        <v>0.27</v>
      </c>
      <c r="L47" s="15">
        <v>0.38</v>
      </c>
      <c r="M47" s="15">
        <v>0.27</v>
      </c>
      <c r="N47" s="15">
        <v>0.14000000000000001</v>
      </c>
      <c r="O47" s="15">
        <v>0.36</v>
      </c>
      <c r="P47" s="15">
        <v>0.61</v>
      </c>
      <c r="Q47" s="15">
        <v>0.82</v>
      </c>
      <c r="R47" s="15">
        <v>1.47</v>
      </c>
      <c r="S47" s="15">
        <v>1.77</v>
      </c>
      <c r="T47" s="15">
        <v>1.86</v>
      </c>
      <c r="U47" s="15">
        <v>1.53</v>
      </c>
      <c r="V47" s="15">
        <v>1.61</v>
      </c>
      <c r="W47" s="15">
        <v>2.08</v>
      </c>
      <c r="X47" s="15">
        <v>2.27</v>
      </c>
      <c r="Y47" s="15">
        <v>2.0499999999999998</v>
      </c>
      <c r="Z47" s="15">
        <v>1.97</v>
      </c>
      <c r="AA47" s="15">
        <v>2.08</v>
      </c>
      <c r="AB47" s="15">
        <v>2.37</v>
      </c>
      <c r="AC47" s="15">
        <v>2.35</v>
      </c>
      <c r="AD47" s="15">
        <v>2.37</v>
      </c>
      <c r="AE47" s="15">
        <v>2.3199999999999998</v>
      </c>
      <c r="AF47" s="15">
        <v>2.46</v>
      </c>
      <c r="AG47" s="15">
        <v>2.52</v>
      </c>
      <c r="AH47" s="15">
        <v>2.75</v>
      </c>
      <c r="AI47" s="15">
        <v>2.87</v>
      </c>
      <c r="AJ47" s="15">
        <v>3.02</v>
      </c>
      <c r="AK47" s="8" t="s">
        <v>73</v>
      </c>
    </row>
    <row r="50" spans="1:36" ht="11.25" customHeight="1" x14ac:dyDescent="0.2">
      <c r="A50" s="26" t="s">
        <v>80</v>
      </c>
    </row>
    <row r="51" spans="1:36" ht="11.25" customHeight="1" x14ac:dyDescent="0.2">
      <c r="A51" s="29" t="s">
        <v>78</v>
      </c>
      <c r="B51" s="28">
        <f>B40+B11</f>
        <v>-0.52</v>
      </c>
      <c r="C51" s="28">
        <f>C40-C11</f>
        <v>-1.08</v>
      </c>
      <c r="D51" s="28">
        <f t="shared" ref="D51:AJ51" si="5">D40-D11</f>
        <v>-0.96</v>
      </c>
      <c r="E51" s="28">
        <f t="shared" si="5"/>
        <v>-1.27</v>
      </c>
      <c r="F51" s="28">
        <f t="shared" si="5"/>
        <v>-1.52</v>
      </c>
      <c r="G51" s="28">
        <f t="shared" si="5"/>
        <v>-1.77</v>
      </c>
      <c r="H51" s="28">
        <f t="shared" si="5"/>
        <v>-1.74</v>
      </c>
      <c r="I51" s="28">
        <f t="shared" si="5"/>
        <v>-2.1800000000000002</v>
      </c>
      <c r="J51" s="28">
        <f t="shared" si="5"/>
        <v>-3.09</v>
      </c>
      <c r="K51" s="28">
        <f t="shared" si="5"/>
        <v>-3.34</v>
      </c>
      <c r="L51" s="28">
        <f t="shared" si="5"/>
        <v>-3.8799999999999994</v>
      </c>
      <c r="M51" s="28">
        <f t="shared" si="5"/>
        <v>-4.7300000000000004</v>
      </c>
      <c r="N51" s="28">
        <f t="shared" si="5"/>
        <v>-4.87</v>
      </c>
      <c r="O51" s="28">
        <f t="shared" si="5"/>
        <v>-4.6999999999999993</v>
      </c>
      <c r="P51" s="28">
        <f t="shared" si="5"/>
        <v>-5.1300000000000008</v>
      </c>
      <c r="Q51" s="28">
        <f t="shared" si="5"/>
        <v>-6.5100000000000007</v>
      </c>
      <c r="R51" s="28">
        <f t="shared" si="5"/>
        <v>-6.12</v>
      </c>
      <c r="S51" s="28">
        <f t="shared" si="5"/>
        <v>-6.41</v>
      </c>
      <c r="T51" s="28">
        <f t="shared" si="5"/>
        <v>-6.4499999999999993</v>
      </c>
      <c r="U51" s="28">
        <f t="shared" si="5"/>
        <v>-6.99</v>
      </c>
      <c r="V51" s="28">
        <f t="shared" si="5"/>
        <v>-7.35</v>
      </c>
      <c r="W51" s="28">
        <f t="shared" si="5"/>
        <v>-7.2900000000000009</v>
      </c>
      <c r="X51" s="28">
        <f t="shared" si="5"/>
        <v>-7.6</v>
      </c>
      <c r="Y51" s="28">
        <f t="shared" si="5"/>
        <v>-7.27</v>
      </c>
      <c r="Z51" s="28">
        <f t="shared" si="5"/>
        <v>-6.35</v>
      </c>
      <c r="AA51" s="28">
        <f t="shared" si="5"/>
        <v>-5.7799999999999994</v>
      </c>
      <c r="AB51" s="28">
        <f t="shared" si="5"/>
        <v>-5.43</v>
      </c>
      <c r="AC51" s="28">
        <f t="shared" si="5"/>
        <v>-3.8000000000000003</v>
      </c>
      <c r="AD51" s="28">
        <f t="shared" si="5"/>
        <v>-3.92</v>
      </c>
      <c r="AE51" s="28">
        <f t="shared" si="5"/>
        <v>-3.01</v>
      </c>
      <c r="AF51" s="28">
        <f t="shared" si="5"/>
        <v>-2.4500000000000002</v>
      </c>
      <c r="AG51" s="28">
        <f t="shared" si="5"/>
        <v>-2.1599999999999997</v>
      </c>
      <c r="AH51" s="28">
        <f t="shared" si="5"/>
        <v>-1.98</v>
      </c>
      <c r="AI51" s="28">
        <f t="shared" si="5"/>
        <v>-0.94</v>
      </c>
      <c r="AJ51" s="28">
        <f t="shared" si="5"/>
        <v>0.68000000000000016</v>
      </c>
    </row>
    <row r="52" spans="1:36" ht="11.25" customHeight="1" x14ac:dyDescent="0.2">
      <c r="A52" s="6" t="s">
        <v>24</v>
      </c>
      <c r="B52" s="28">
        <f>B41-B12</f>
        <v>0.19</v>
      </c>
      <c r="C52" s="28">
        <f t="shared" ref="C52:AJ52" si="6">C41-C12</f>
        <v>0.49</v>
      </c>
      <c r="D52" s="28">
        <f t="shared" si="6"/>
        <v>-5.0000000000000017E-2</v>
      </c>
      <c r="E52" s="28">
        <f t="shared" si="6"/>
        <v>-0.66</v>
      </c>
      <c r="F52" s="28">
        <f t="shared" si="6"/>
        <v>-1.8599999999999999</v>
      </c>
      <c r="G52" s="28">
        <f t="shared" si="6"/>
        <v>-2.1599999999999997</v>
      </c>
      <c r="H52" s="28">
        <f t="shared" si="6"/>
        <v>-2.2599999999999998</v>
      </c>
      <c r="I52" s="28">
        <f t="shared" si="6"/>
        <v>-2.06</v>
      </c>
      <c r="J52" s="28">
        <f t="shared" si="6"/>
        <v>-2.36</v>
      </c>
      <c r="K52" s="28">
        <f t="shared" si="6"/>
        <v>-3.85</v>
      </c>
      <c r="L52" s="28">
        <f t="shared" si="6"/>
        <v>-4.95</v>
      </c>
      <c r="M52" s="28">
        <f t="shared" si="6"/>
        <v>-6.05</v>
      </c>
      <c r="N52" s="28">
        <f t="shared" si="6"/>
        <v>-6.1599999999999993</v>
      </c>
      <c r="O52" s="28">
        <f t="shared" si="6"/>
        <v>-7.13</v>
      </c>
      <c r="P52" s="28">
        <f t="shared" si="6"/>
        <v>-7.79</v>
      </c>
      <c r="Q52" s="28">
        <f t="shared" si="6"/>
        <v>-9.41</v>
      </c>
      <c r="R52" s="28">
        <f t="shared" si="6"/>
        <v>-10.48</v>
      </c>
      <c r="S52" s="28">
        <f t="shared" si="6"/>
        <v>-11.780000000000001</v>
      </c>
      <c r="T52" s="28">
        <f t="shared" si="6"/>
        <v>-13.030000000000001</v>
      </c>
      <c r="U52" s="28">
        <f t="shared" si="6"/>
        <v>-13.05</v>
      </c>
      <c r="V52" s="28">
        <f t="shared" si="6"/>
        <v>-13.15</v>
      </c>
      <c r="W52" s="28">
        <f t="shared" si="6"/>
        <v>-13.75</v>
      </c>
      <c r="X52" s="28">
        <f t="shared" si="6"/>
        <v>-12.950000000000001</v>
      </c>
      <c r="Y52" s="28">
        <f t="shared" si="6"/>
        <v>-12.450000000000001</v>
      </c>
      <c r="Z52" s="28">
        <f t="shared" si="6"/>
        <v>-12.450000000000001</v>
      </c>
      <c r="AA52" s="28">
        <f t="shared" si="6"/>
        <v>-12.450000000000001</v>
      </c>
      <c r="AB52" s="28">
        <f t="shared" si="6"/>
        <v>-10.969999999999999</v>
      </c>
      <c r="AC52" s="28">
        <f t="shared" si="6"/>
        <v>-7.89</v>
      </c>
      <c r="AD52" s="28">
        <f t="shared" si="6"/>
        <v>-6.2700000000000005</v>
      </c>
      <c r="AE52" s="28">
        <f t="shared" si="6"/>
        <v>-4.5699999999999994</v>
      </c>
      <c r="AF52" s="28">
        <f t="shared" si="6"/>
        <v>-3.4699999999999998</v>
      </c>
      <c r="AG52" s="28">
        <f t="shared" si="6"/>
        <v>-3.7699999999999996</v>
      </c>
      <c r="AH52" s="28">
        <f t="shared" si="6"/>
        <v>-3.4699999999999998</v>
      </c>
      <c r="AI52" s="28">
        <f t="shared" si="6"/>
        <v>-2.37</v>
      </c>
      <c r="AJ52" s="28">
        <f t="shared" si="6"/>
        <v>-1.87</v>
      </c>
    </row>
    <row r="53" spans="1:36" ht="11.25" customHeight="1" x14ac:dyDescent="0.2">
      <c r="A53" s="6" t="s">
        <v>25</v>
      </c>
      <c r="B53" s="28">
        <f t="shared" ref="B53:B58" si="7">B42-B13</f>
        <v>-1.1399999999999999</v>
      </c>
      <c r="C53" s="28">
        <f t="shared" ref="C53:AJ53" si="8">C42-C13</f>
        <v>-0.92000000000000015</v>
      </c>
      <c r="D53" s="28">
        <f t="shared" si="8"/>
        <v>-0.6100000000000001</v>
      </c>
      <c r="E53" s="28">
        <f t="shared" si="8"/>
        <v>-0.42999999999999972</v>
      </c>
      <c r="F53" s="28">
        <f t="shared" si="8"/>
        <v>-1.24</v>
      </c>
      <c r="G53" s="28">
        <f t="shared" si="8"/>
        <v>-0.96000000000000019</v>
      </c>
      <c r="H53" s="28">
        <f t="shared" si="8"/>
        <v>-0.83000000000000007</v>
      </c>
      <c r="I53" s="28">
        <f t="shared" si="8"/>
        <v>-0.9800000000000002</v>
      </c>
      <c r="J53" s="28">
        <f t="shared" si="8"/>
        <v>-1.36</v>
      </c>
      <c r="K53" s="28">
        <f t="shared" si="8"/>
        <v>-2.1</v>
      </c>
      <c r="L53" s="28">
        <f t="shared" si="8"/>
        <v>-2.46</v>
      </c>
      <c r="M53" s="28">
        <f t="shared" si="8"/>
        <v>-2.1799999999999997</v>
      </c>
      <c r="N53" s="28">
        <f t="shared" si="8"/>
        <v>-2.7800000000000002</v>
      </c>
      <c r="O53" s="28">
        <f t="shared" si="8"/>
        <v>-5.6800000000000006</v>
      </c>
      <c r="P53" s="28">
        <f t="shared" si="8"/>
        <v>-6.9700000000000006</v>
      </c>
      <c r="Q53" s="28">
        <f t="shared" si="8"/>
        <v>-8.370000000000001</v>
      </c>
      <c r="R53" s="28">
        <f t="shared" si="8"/>
        <v>-9.19</v>
      </c>
      <c r="S53" s="28">
        <f t="shared" si="8"/>
        <v>-10.59</v>
      </c>
      <c r="T53" s="28">
        <f t="shared" si="8"/>
        <v>-11.48</v>
      </c>
      <c r="U53" s="28">
        <f t="shared" si="8"/>
        <v>-12.9</v>
      </c>
      <c r="V53" s="28">
        <f t="shared" si="8"/>
        <v>-12.990000000000002</v>
      </c>
      <c r="W53" s="28">
        <f t="shared" si="8"/>
        <v>-13.080000000000002</v>
      </c>
      <c r="X53" s="28">
        <f t="shared" si="8"/>
        <v>-9.98</v>
      </c>
      <c r="Y53" s="28">
        <f t="shared" si="8"/>
        <v>-12.09</v>
      </c>
      <c r="Z53" s="28">
        <f t="shared" si="8"/>
        <v>-12.09</v>
      </c>
      <c r="AA53" s="28">
        <f t="shared" si="8"/>
        <v>-14.630000000000003</v>
      </c>
      <c r="AB53" s="28">
        <f t="shared" si="8"/>
        <v>-13.79</v>
      </c>
      <c r="AC53" s="28">
        <f t="shared" si="8"/>
        <v>-11.83</v>
      </c>
      <c r="AD53" s="28">
        <f t="shared" si="8"/>
        <v>-9.65</v>
      </c>
      <c r="AE53" s="28">
        <f t="shared" si="8"/>
        <v>-8</v>
      </c>
      <c r="AF53" s="28">
        <f t="shared" si="8"/>
        <v>-6.85</v>
      </c>
      <c r="AG53" s="28">
        <f t="shared" si="8"/>
        <v>-6.0499999999999989</v>
      </c>
      <c r="AH53" s="28">
        <f t="shared" si="8"/>
        <v>-5.84</v>
      </c>
      <c r="AI53" s="28">
        <f t="shared" si="8"/>
        <v>-3.8100000000000005</v>
      </c>
      <c r="AJ53" s="28">
        <f t="shared" si="8"/>
        <v>-4.78</v>
      </c>
    </row>
    <row r="54" spans="1:36" ht="11.25" customHeight="1" x14ac:dyDescent="0.2">
      <c r="A54" s="6" t="s">
        <v>26</v>
      </c>
      <c r="B54" s="28">
        <f t="shared" si="7"/>
        <v>-0.87</v>
      </c>
      <c r="C54" s="28">
        <f t="shared" ref="C54:AJ54" si="9">C43-C14</f>
        <v>-0.84000000000000008</v>
      </c>
      <c r="D54" s="28">
        <f t="shared" si="9"/>
        <v>-0.78</v>
      </c>
      <c r="E54" s="28">
        <f t="shared" si="9"/>
        <v>-0.93</v>
      </c>
      <c r="F54" s="28">
        <f t="shared" si="9"/>
        <v>-1.5</v>
      </c>
      <c r="G54" s="28">
        <f t="shared" si="9"/>
        <v>-1.7899999999999998</v>
      </c>
      <c r="H54" s="28">
        <f t="shared" si="9"/>
        <v>-1.7899999999999998</v>
      </c>
      <c r="I54" s="28">
        <f t="shared" si="9"/>
        <v>-1.75</v>
      </c>
      <c r="J54" s="28">
        <f t="shared" si="9"/>
        <v>-1.96</v>
      </c>
      <c r="K54" s="28">
        <f t="shared" si="9"/>
        <v>-2.4099999999999997</v>
      </c>
      <c r="L54" s="28">
        <f t="shared" si="9"/>
        <v>-3.1</v>
      </c>
      <c r="M54" s="28">
        <f t="shared" si="9"/>
        <v>-3.79</v>
      </c>
      <c r="N54" s="28">
        <f t="shared" si="9"/>
        <v>-3.48</v>
      </c>
      <c r="O54" s="28">
        <f t="shared" si="9"/>
        <v>-4.79</v>
      </c>
      <c r="P54" s="28">
        <f t="shared" si="9"/>
        <v>-4.84</v>
      </c>
      <c r="Q54" s="28">
        <f t="shared" si="9"/>
        <v>-5.43</v>
      </c>
      <c r="R54" s="28">
        <f t="shared" si="9"/>
        <v>-6.36</v>
      </c>
      <c r="S54" s="28">
        <f t="shared" si="9"/>
        <v>-6.8999999999999995</v>
      </c>
      <c r="T54" s="28">
        <f t="shared" si="9"/>
        <v>-7.26</v>
      </c>
      <c r="U54" s="28">
        <f t="shared" si="9"/>
        <v>-8.01</v>
      </c>
      <c r="V54" s="28">
        <f t="shared" si="9"/>
        <v>-8.52</v>
      </c>
      <c r="W54" s="28">
        <f t="shared" si="9"/>
        <v>-8.8999999999999986</v>
      </c>
      <c r="X54" s="28">
        <f t="shared" si="9"/>
        <v>-8.8000000000000007</v>
      </c>
      <c r="Y54" s="28">
        <f t="shared" si="9"/>
        <v>-7.3199999999999994</v>
      </c>
      <c r="Z54" s="28">
        <f t="shared" si="9"/>
        <v>-7.31</v>
      </c>
      <c r="AA54" s="28">
        <f t="shared" si="9"/>
        <v>-5.9700000000000006</v>
      </c>
      <c r="AB54" s="28">
        <f t="shared" si="9"/>
        <v>-5.7500000000000009</v>
      </c>
      <c r="AC54" s="28">
        <f t="shared" si="9"/>
        <v>-4.75</v>
      </c>
      <c r="AD54" s="28">
        <f t="shared" si="9"/>
        <v>-2.9999999999999996</v>
      </c>
      <c r="AE54" s="28">
        <f t="shared" si="9"/>
        <v>-0.35999999999999988</v>
      </c>
      <c r="AF54" s="28">
        <f t="shared" si="9"/>
        <v>0.16999999999999993</v>
      </c>
      <c r="AG54" s="28">
        <f t="shared" si="9"/>
        <v>-0.5</v>
      </c>
      <c r="AH54" s="28">
        <f t="shared" si="9"/>
        <v>0.4700000000000002</v>
      </c>
      <c r="AI54" s="28">
        <f t="shared" si="9"/>
        <v>2.23</v>
      </c>
      <c r="AJ54" s="28">
        <f t="shared" si="9"/>
        <v>3.4499999999999997</v>
      </c>
    </row>
    <row r="55" spans="1:36" ht="11.25" customHeight="1" x14ac:dyDescent="0.2">
      <c r="A55" s="6" t="s">
        <v>27</v>
      </c>
      <c r="B55" s="28">
        <f t="shared" si="7"/>
        <v>-0.63999999999999968</v>
      </c>
      <c r="C55" s="28">
        <f t="shared" ref="C55:AJ55" si="10">C44-C15</f>
        <v>-0.67999999999999972</v>
      </c>
      <c r="D55" s="28">
        <f t="shared" si="10"/>
        <v>-0.86999999999999966</v>
      </c>
      <c r="E55" s="28">
        <f t="shared" si="10"/>
        <v>-1.2199999999999998</v>
      </c>
      <c r="F55" s="28">
        <f t="shared" si="10"/>
        <v>-2.5100000000000002</v>
      </c>
      <c r="G55" s="28">
        <f t="shared" si="10"/>
        <v>-2.36</v>
      </c>
      <c r="H55" s="28">
        <f t="shared" si="10"/>
        <v>-2.4499999999999997</v>
      </c>
      <c r="I55" s="28">
        <f t="shared" si="10"/>
        <v>-1.87</v>
      </c>
      <c r="J55" s="28">
        <f t="shared" si="10"/>
        <v>-2.0600000000000005</v>
      </c>
      <c r="K55" s="28">
        <f t="shared" si="10"/>
        <v>-2.4</v>
      </c>
      <c r="L55" s="28">
        <f t="shared" si="10"/>
        <v>-2.9099999999999997</v>
      </c>
      <c r="M55" s="28">
        <f t="shared" si="10"/>
        <v>-3.4299999999999997</v>
      </c>
      <c r="N55" s="28">
        <f t="shared" si="10"/>
        <v>-3</v>
      </c>
      <c r="O55" s="28">
        <f t="shared" si="10"/>
        <v>-3.1900000000000004</v>
      </c>
      <c r="P55" s="28">
        <f t="shared" si="10"/>
        <v>-3.54</v>
      </c>
      <c r="Q55" s="28">
        <f t="shared" si="10"/>
        <v>-2.6799999999999997</v>
      </c>
      <c r="R55" s="28">
        <f t="shared" si="10"/>
        <v>-3.01</v>
      </c>
      <c r="S55" s="28">
        <f t="shared" si="10"/>
        <v>-3.6000000000000005</v>
      </c>
      <c r="T55" s="28">
        <f t="shared" si="10"/>
        <v>-4.6499999999999995</v>
      </c>
      <c r="U55" s="28">
        <f t="shared" si="10"/>
        <v>-6.1899999999999995</v>
      </c>
      <c r="V55" s="28">
        <f t="shared" si="10"/>
        <v>-10.410000000000002</v>
      </c>
      <c r="W55" s="28">
        <f t="shared" si="10"/>
        <v>-11.469999999999999</v>
      </c>
      <c r="X55" s="28">
        <f t="shared" si="10"/>
        <v>-11.649999999999999</v>
      </c>
      <c r="Y55" s="28">
        <f t="shared" si="10"/>
        <v>-14.290000000000001</v>
      </c>
      <c r="Z55" s="28">
        <f t="shared" si="10"/>
        <v>-16.369999999999997</v>
      </c>
      <c r="AA55" s="28">
        <f t="shared" si="10"/>
        <v>-18.439999999999998</v>
      </c>
      <c r="AB55" s="28">
        <f t="shared" si="10"/>
        <v>-17.57</v>
      </c>
      <c r="AC55" s="28">
        <f t="shared" si="10"/>
        <v>-17.060000000000002</v>
      </c>
      <c r="AD55" s="28">
        <f t="shared" si="10"/>
        <v>-16.049999999999997</v>
      </c>
      <c r="AE55" s="28">
        <f t="shared" si="10"/>
        <v>-14.119999999999997</v>
      </c>
      <c r="AF55" s="28">
        <f t="shared" si="10"/>
        <v>-12.7</v>
      </c>
      <c r="AG55" s="28">
        <f t="shared" si="10"/>
        <v>-10.4</v>
      </c>
      <c r="AH55" s="28">
        <f t="shared" si="10"/>
        <v>-6.7999999999999989</v>
      </c>
      <c r="AI55" s="28">
        <f t="shared" si="10"/>
        <v>-5.1199999999999992</v>
      </c>
      <c r="AJ55" s="28">
        <f t="shared" si="10"/>
        <v>-2.0699999999999994</v>
      </c>
    </row>
    <row r="56" spans="1:36" ht="11.25" customHeight="1" x14ac:dyDescent="0.2">
      <c r="A56" s="6" t="s">
        <v>28</v>
      </c>
      <c r="B56" s="28">
        <f t="shared" si="7"/>
        <v>-2.11</v>
      </c>
      <c r="C56" s="28">
        <f t="shared" ref="C56:AJ56" si="11">C45-C16</f>
        <v>-2.41</v>
      </c>
      <c r="D56" s="28">
        <f t="shared" si="11"/>
        <v>-2.29</v>
      </c>
      <c r="E56" s="28">
        <f t="shared" si="11"/>
        <v>-2.87</v>
      </c>
      <c r="F56" s="28">
        <f t="shared" si="11"/>
        <v>-3.55</v>
      </c>
      <c r="G56" s="28">
        <f t="shared" si="11"/>
        <v>-2.7799999999999994</v>
      </c>
      <c r="H56" s="28">
        <f t="shared" si="11"/>
        <v>-2.3199999999999994</v>
      </c>
      <c r="I56" s="28">
        <f t="shared" si="11"/>
        <v>-3.09</v>
      </c>
      <c r="J56" s="28">
        <f t="shared" si="11"/>
        <v>-3.4</v>
      </c>
      <c r="K56" s="28">
        <f t="shared" si="11"/>
        <v>-3.7299999999999995</v>
      </c>
      <c r="L56" s="28">
        <f t="shared" si="11"/>
        <v>-3.7700000000000005</v>
      </c>
      <c r="M56" s="28">
        <f t="shared" si="11"/>
        <v>-4.28</v>
      </c>
      <c r="N56" s="28">
        <f t="shared" si="11"/>
        <v>-4.6500000000000004</v>
      </c>
      <c r="O56" s="28">
        <f t="shared" si="11"/>
        <v>-4.6999999999999993</v>
      </c>
      <c r="P56" s="28">
        <f t="shared" si="11"/>
        <v>-4.1499999999999995</v>
      </c>
      <c r="Q56" s="28">
        <f t="shared" si="11"/>
        <v>-5.3699999999999992</v>
      </c>
      <c r="R56" s="28">
        <f t="shared" si="11"/>
        <v>-5.44</v>
      </c>
      <c r="S56" s="28">
        <f t="shared" si="11"/>
        <v>-6.160000000000001</v>
      </c>
      <c r="T56" s="28">
        <f t="shared" si="11"/>
        <v>-7.06</v>
      </c>
      <c r="U56" s="28">
        <f t="shared" si="11"/>
        <v>-7.8299999999999992</v>
      </c>
      <c r="V56" s="28">
        <f t="shared" si="11"/>
        <v>-9</v>
      </c>
      <c r="W56" s="28">
        <f t="shared" si="11"/>
        <v>-9.4199999999999982</v>
      </c>
      <c r="X56" s="28">
        <f t="shared" si="11"/>
        <v>-8.5799999999999983</v>
      </c>
      <c r="Y56" s="28">
        <f t="shared" si="11"/>
        <v>-8.8600000000000012</v>
      </c>
      <c r="Z56" s="28">
        <f t="shared" si="11"/>
        <v>-8.6900000000000013</v>
      </c>
      <c r="AA56" s="28">
        <f t="shared" si="11"/>
        <v>-9.8800000000000008</v>
      </c>
      <c r="AB56" s="28">
        <f t="shared" si="11"/>
        <v>-11.02</v>
      </c>
      <c r="AC56" s="28">
        <f t="shared" si="11"/>
        <v>-9.0599999999999987</v>
      </c>
      <c r="AD56" s="28">
        <f t="shared" si="11"/>
        <v>-7.93</v>
      </c>
      <c r="AE56" s="28">
        <f t="shared" si="11"/>
        <v>-6.57</v>
      </c>
      <c r="AF56" s="28">
        <f t="shared" si="11"/>
        <v>-5.09</v>
      </c>
      <c r="AG56" s="28">
        <f t="shared" si="11"/>
        <v>-4.7600000000000007</v>
      </c>
      <c r="AH56" s="28">
        <f t="shared" si="11"/>
        <v>-3.91</v>
      </c>
      <c r="AI56" s="28">
        <f t="shared" si="11"/>
        <v>-2.0200000000000005</v>
      </c>
      <c r="AJ56" s="28">
        <f t="shared" si="11"/>
        <v>-0.45999999999999996</v>
      </c>
    </row>
    <row r="57" spans="1:36" ht="11.25" customHeight="1" x14ac:dyDescent="0.2">
      <c r="A57" s="6" t="s">
        <v>29</v>
      </c>
      <c r="B57" s="28">
        <f t="shared" si="7"/>
        <v>1.1399999999999999</v>
      </c>
      <c r="C57" s="28">
        <f t="shared" ref="C57:AJ57" si="12">C46-C17</f>
        <v>0.7200000000000002</v>
      </c>
      <c r="D57" s="28">
        <f t="shared" si="12"/>
        <v>0.14999999999999991</v>
      </c>
      <c r="E57" s="28">
        <f t="shared" si="12"/>
        <v>0.45999999999999996</v>
      </c>
      <c r="F57" s="28">
        <f t="shared" si="12"/>
        <v>0.13999999999999968</v>
      </c>
      <c r="G57" s="28">
        <f t="shared" si="12"/>
        <v>-0.17000000000000037</v>
      </c>
      <c r="H57" s="28">
        <f t="shared" si="12"/>
        <v>-0.39000000000000012</v>
      </c>
      <c r="I57" s="28">
        <f t="shared" si="12"/>
        <v>-0.55999999999999961</v>
      </c>
      <c r="J57" s="28">
        <f t="shared" si="12"/>
        <v>-0.2799999999999998</v>
      </c>
      <c r="K57" s="28">
        <f t="shared" si="12"/>
        <v>-1.2000000000000002</v>
      </c>
      <c r="L57" s="28">
        <f t="shared" si="12"/>
        <v>-1.75</v>
      </c>
      <c r="M57" s="28">
        <f t="shared" si="12"/>
        <v>-1.5899999999999999</v>
      </c>
      <c r="N57" s="28">
        <f t="shared" si="12"/>
        <v>-1.33</v>
      </c>
      <c r="O57" s="28">
        <f t="shared" si="12"/>
        <v>-1.83</v>
      </c>
      <c r="P57" s="28">
        <f t="shared" si="12"/>
        <v>-2.3000000000000007</v>
      </c>
      <c r="Q57" s="28">
        <f t="shared" si="12"/>
        <v>-3.3999999999999995</v>
      </c>
      <c r="R57" s="28">
        <f t="shared" si="12"/>
        <v>-5.089999999999999</v>
      </c>
      <c r="S57" s="28">
        <f t="shared" si="12"/>
        <v>-4.5600000000000005</v>
      </c>
      <c r="T57" s="28">
        <f t="shared" si="12"/>
        <v>-4.26</v>
      </c>
      <c r="U57" s="28">
        <f t="shared" si="12"/>
        <v>-3.74</v>
      </c>
      <c r="V57" s="28">
        <f t="shared" si="12"/>
        <v>-5.16</v>
      </c>
      <c r="W57" s="28">
        <f t="shared" si="12"/>
        <v>-5.33</v>
      </c>
      <c r="X57" s="28">
        <f t="shared" si="12"/>
        <v>-4.3699999999999992</v>
      </c>
      <c r="Y57" s="28">
        <f t="shared" si="12"/>
        <v>-6.9499999999999993</v>
      </c>
      <c r="Z57" s="28">
        <f t="shared" si="12"/>
        <v>-6.93</v>
      </c>
      <c r="AA57" s="28">
        <f t="shared" si="12"/>
        <v>-6.6000000000000005</v>
      </c>
      <c r="AB57" s="28">
        <f t="shared" si="12"/>
        <v>-5.94</v>
      </c>
      <c r="AC57" s="28">
        <f t="shared" si="12"/>
        <v>-5.0999999999999996</v>
      </c>
      <c r="AD57" s="28">
        <f t="shared" si="12"/>
        <v>-3.4000000000000004</v>
      </c>
      <c r="AE57" s="28">
        <f t="shared" si="12"/>
        <v>-3.3</v>
      </c>
      <c r="AF57" s="28">
        <f t="shared" si="12"/>
        <v>-3.1900000000000004</v>
      </c>
      <c r="AG57" s="28">
        <f t="shared" si="12"/>
        <v>-2.7</v>
      </c>
      <c r="AH57" s="28">
        <f t="shared" si="12"/>
        <v>-2.9600000000000009</v>
      </c>
      <c r="AI57" s="28">
        <f t="shared" si="12"/>
        <v>-1.7199999999999989</v>
      </c>
      <c r="AJ57" s="28">
        <f t="shared" si="12"/>
        <v>-1.4900000000000011</v>
      </c>
    </row>
    <row r="58" spans="1:36" ht="11.25" customHeight="1" x14ac:dyDescent="0.2">
      <c r="A58" s="6" t="s">
        <v>30</v>
      </c>
      <c r="B58" s="28">
        <f t="shared" si="7"/>
        <v>-0.59</v>
      </c>
      <c r="C58" s="28">
        <f t="shared" ref="C58:AJ58" si="13">C47-C18</f>
        <v>-1.8299999999999998</v>
      </c>
      <c r="D58" s="28">
        <f t="shared" si="13"/>
        <v>-1.55</v>
      </c>
      <c r="E58" s="28">
        <f t="shared" si="13"/>
        <v>-1.7000000000000002</v>
      </c>
      <c r="F58" s="28">
        <f t="shared" si="13"/>
        <v>-2.4299999999999997</v>
      </c>
      <c r="G58" s="28">
        <f t="shared" si="13"/>
        <v>-1.98</v>
      </c>
      <c r="H58" s="28">
        <f t="shared" si="13"/>
        <v>-1.44</v>
      </c>
      <c r="I58" s="28">
        <f t="shared" si="13"/>
        <v>-1.62</v>
      </c>
      <c r="J58" s="28">
        <f t="shared" si="13"/>
        <v>-2.39</v>
      </c>
      <c r="K58" s="28">
        <f t="shared" si="13"/>
        <v>-2.73</v>
      </c>
      <c r="L58" s="28">
        <f t="shared" si="13"/>
        <v>-2.92</v>
      </c>
      <c r="M58" s="28">
        <f t="shared" si="13"/>
        <v>-3.63</v>
      </c>
      <c r="N58" s="28">
        <f t="shared" si="13"/>
        <v>-4.3600000000000003</v>
      </c>
      <c r="O58" s="28">
        <f t="shared" si="13"/>
        <v>-3.54</v>
      </c>
      <c r="P58" s="28">
        <f t="shared" si="13"/>
        <v>-3.7900000000000005</v>
      </c>
      <c r="Q58" s="28">
        <f t="shared" si="13"/>
        <v>-5.4799999999999995</v>
      </c>
      <c r="R58" s="28">
        <f t="shared" si="13"/>
        <v>-5.13</v>
      </c>
      <c r="S58" s="28">
        <f t="shared" si="13"/>
        <v>-5.73</v>
      </c>
      <c r="T58" s="28">
        <f t="shared" si="13"/>
        <v>-7.04</v>
      </c>
      <c r="U58" s="28">
        <f t="shared" si="13"/>
        <v>-6.7700000000000005</v>
      </c>
      <c r="V58" s="28">
        <f t="shared" si="13"/>
        <v>-7.89</v>
      </c>
      <c r="W58" s="28">
        <f t="shared" si="13"/>
        <v>-8.2200000000000006</v>
      </c>
      <c r="X58" s="28">
        <f t="shared" si="13"/>
        <v>-7.5300000000000011</v>
      </c>
      <c r="Y58" s="28">
        <f t="shared" si="13"/>
        <v>-8.0500000000000007</v>
      </c>
      <c r="Z58" s="28">
        <f t="shared" si="13"/>
        <v>-8.83</v>
      </c>
      <c r="AA58" s="28">
        <f t="shared" si="13"/>
        <v>-7.52</v>
      </c>
      <c r="AB58" s="28">
        <f t="shared" si="13"/>
        <v>-7.3299999999999992</v>
      </c>
      <c r="AC58" s="28">
        <f t="shared" si="13"/>
        <v>-5.75</v>
      </c>
      <c r="AD58" s="28">
        <f t="shared" si="13"/>
        <v>-5.33</v>
      </c>
      <c r="AE58" s="28">
        <f t="shared" si="13"/>
        <v>-4.3800000000000008</v>
      </c>
      <c r="AF58" s="28">
        <f t="shared" si="13"/>
        <v>-3.84</v>
      </c>
      <c r="AG58" s="28">
        <f t="shared" si="13"/>
        <v>-3.78</v>
      </c>
      <c r="AH58" s="28">
        <f t="shared" si="13"/>
        <v>-1.75</v>
      </c>
      <c r="AI58" s="28">
        <f t="shared" si="13"/>
        <v>-0.83000000000000007</v>
      </c>
      <c r="AJ58" s="28">
        <f t="shared" si="13"/>
        <v>-0.98</v>
      </c>
    </row>
    <row r="61" spans="1:36" ht="11.25" customHeight="1" x14ac:dyDescent="0.2">
      <c r="A61" s="26" t="s">
        <v>81</v>
      </c>
    </row>
    <row r="62" spans="1:36" ht="11.25" customHeight="1" x14ac:dyDescent="0.2">
      <c r="A62" s="29" t="s">
        <v>78</v>
      </c>
      <c r="B62" s="32">
        <f>(1+(B40/100))^(1/12)-1</f>
        <v>-1.8351845469455341E-4</v>
      </c>
      <c r="C62" s="32">
        <f t="shared" ref="C62:AJ69" si="14">(1+(C40/100))^(1/12)-1</f>
        <v>-1.5012389249957625E-4</v>
      </c>
      <c r="D62" s="32">
        <f t="shared" si="14"/>
        <v>-5.0013755273137228E-5</v>
      </c>
      <c r="E62" s="32">
        <f t="shared" si="14"/>
        <v>2.4996563158685703E-5</v>
      </c>
      <c r="F62" s="32">
        <f t="shared" si="14"/>
        <v>6.6642234708869097E-5</v>
      </c>
      <c r="G62" s="32">
        <f t="shared" si="14"/>
        <v>1.9146491445765079E-4</v>
      </c>
      <c r="H62" s="32">
        <f t="shared" si="14"/>
        <v>1.3323565538980731E-4</v>
      </c>
      <c r="I62" s="32">
        <f t="shared" si="14"/>
        <v>1.6665139084048874E-5</v>
      </c>
      <c r="J62" s="32">
        <f t="shared" si="14"/>
        <v>-7.5030955300703361E-5</v>
      </c>
      <c r="K62" s="32">
        <f t="shared" si="14"/>
        <v>4.99862552685304E-5</v>
      </c>
      <c r="L62" s="32">
        <f t="shared" si="14"/>
        <v>1.831487316386049E-4</v>
      </c>
      <c r="M62" s="32">
        <f t="shared" si="14"/>
        <v>1.4155640446089635E-4</v>
      </c>
      <c r="N62" s="32">
        <f t="shared" si="14"/>
        <v>1.0826883828274347E-4</v>
      </c>
      <c r="O62" s="32">
        <f t="shared" si="14"/>
        <v>3.3272377940973819E-4</v>
      </c>
      <c r="P62" s="32">
        <f t="shared" si="14"/>
        <v>6.3941319620330894E-4</v>
      </c>
      <c r="Q62" s="32">
        <f t="shared" si="14"/>
        <v>7.3865837651476696E-4</v>
      </c>
      <c r="R62" s="32">
        <f t="shared" si="14"/>
        <v>1.1427897418165855E-3</v>
      </c>
      <c r="S62" s="32">
        <f t="shared" si="14"/>
        <v>1.3975409693907093E-3</v>
      </c>
      <c r="T62" s="32">
        <f t="shared" si="14"/>
        <v>1.855937535336194E-3</v>
      </c>
      <c r="U62" s="32">
        <f t="shared" si="14"/>
        <v>1.5779006482814495E-3</v>
      </c>
      <c r="V62" s="32">
        <f t="shared" si="14"/>
        <v>1.5287470679612447E-3</v>
      </c>
      <c r="W62" s="32">
        <f t="shared" si="14"/>
        <v>2.1494073283745418E-3</v>
      </c>
      <c r="X62" s="32">
        <f t="shared" si="14"/>
        <v>2.4662697723036864E-3</v>
      </c>
      <c r="Y62" s="32">
        <f t="shared" si="14"/>
        <v>2.3282856950768149E-3</v>
      </c>
      <c r="Z62" s="32">
        <f t="shared" si="14"/>
        <v>2.3445299646698281E-3</v>
      </c>
      <c r="AA62" s="32">
        <f t="shared" si="14"/>
        <v>2.4013621145706487E-3</v>
      </c>
      <c r="AB62" s="32">
        <f t="shared" si="14"/>
        <v>2.5230260752062694E-3</v>
      </c>
      <c r="AC62" s="32">
        <f t="shared" si="14"/>
        <v>2.5473393892132545E-3</v>
      </c>
      <c r="AD62" s="32">
        <f t="shared" si="14"/>
        <v>2.5311312339049152E-3</v>
      </c>
      <c r="AE62" s="32">
        <f t="shared" si="14"/>
        <v>2.5392356718625386E-3</v>
      </c>
      <c r="AF62" s="32">
        <f t="shared" si="14"/>
        <v>2.5068135950498949E-3</v>
      </c>
      <c r="AG62" s="32">
        <f t="shared" si="14"/>
        <v>2.5797470552240132E-3</v>
      </c>
      <c r="AH62" s="32">
        <f t="shared" si="14"/>
        <v>2.6445278387947635E-3</v>
      </c>
      <c r="AI62" s="32">
        <f t="shared" si="14"/>
        <v>2.7577835453318489E-3</v>
      </c>
      <c r="AJ62" s="32">
        <f t="shared" si="14"/>
        <v>2.9354730050472622E-3</v>
      </c>
    </row>
    <row r="63" spans="1:36" ht="11.25" customHeight="1" x14ac:dyDescent="0.2">
      <c r="A63" s="6" t="s">
        <v>24</v>
      </c>
      <c r="B63" s="32">
        <f t="shared" ref="B63:Q69" si="15">(1+(B41/100))^(1/12)-1</f>
        <v>1.5819561853080977E-4</v>
      </c>
      <c r="C63" s="32">
        <f t="shared" si="15"/>
        <v>1.5819561853080977E-4</v>
      </c>
      <c r="D63" s="32">
        <f t="shared" si="15"/>
        <v>1.2491414476678564E-4</v>
      </c>
      <c r="E63" s="32">
        <f t="shared" si="15"/>
        <v>1.1659187244639213E-4</v>
      </c>
      <c r="F63" s="32">
        <f t="shared" si="15"/>
        <v>1.1659187244639213E-4</v>
      </c>
      <c r="G63" s="32">
        <f t="shared" si="15"/>
        <v>1.1659187244639213E-4</v>
      </c>
      <c r="H63" s="32">
        <f t="shared" si="15"/>
        <v>1.1659187244639213E-4</v>
      </c>
      <c r="I63" s="32">
        <f t="shared" si="15"/>
        <v>1.1659187244639213E-4</v>
      </c>
      <c r="J63" s="32">
        <f t="shared" si="15"/>
        <v>1.1659187244639213E-4</v>
      </c>
      <c r="K63" s="32">
        <f t="shared" si="15"/>
        <v>1.2491414476678564E-4</v>
      </c>
      <c r="L63" s="32">
        <f t="shared" si="15"/>
        <v>2.0809499864316017E-4</v>
      </c>
      <c r="M63" s="32">
        <f t="shared" si="15"/>
        <v>2.0809499864316017E-4</v>
      </c>
      <c r="N63" s="32">
        <f t="shared" si="15"/>
        <v>3.6592929423662213E-4</v>
      </c>
      <c r="O63" s="32">
        <f t="shared" si="15"/>
        <v>4.7376356288175714E-4</v>
      </c>
      <c r="P63" s="32">
        <f t="shared" si="15"/>
        <v>5.0691763232846299E-4</v>
      </c>
      <c r="Q63" s="32">
        <f t="shared" si="15"/>
        <v>9.038268036556385E-4</v>
      </c>
      <c r="R63" s="32">
        <f t="shared" si="14"/>
        <v>1.3400787856630014E-3</v>
      </c>
      <c r="S63" s="32">
        <f t="shared" si="14"/>
        <v>1.3400787856630014E-3</v>
      </c>
      <c r="T63" s="32">
        <f t="shared" si="14"/>
        <v>1.4631676547709471E-3</v>
      </c>
      <c r="U63" s="32">
        <f t="shared" si="14"/>
        <v>1.5287470679612447E-3</v>
      </c>
      <c r="V63" s="32">
        <f t="shared" si="14"/>
        <v>1.5287470679612447E-3</v>
      </c>
      <c r="W63" s="32">
        <f t="shared" si="14"/>
        <v>1.5287470679612447E-3</v>
      </c>
      <c r="X63" s="32">
        <f t="shared" si="14"/>
        <v>1.5287470679612447E-3</v>
      </c>
      <c r="Y63" s="32">
        <f t="shared" si="14"/>
        <v>1.5287470679612447E-3</v>
      </c>
      <c r="Z63" s="32">
        <f t="shared" si="14"/>
        <v>1.5287470679612447E-3</v>
      </c>
      <c r="AA63" s="32">
        <f t="shared" si="14"/>
        <v>1.5287470679612447E-3</v>
      </c>
      <c r="AB63" s="32">
        <f t="shared" si="14"/>
        <v>2.2470208793048396E-3</v>
      </c>
      <c r="AC63" s="32">
        <f t="shared" si="14"/>
        <v>3.4424038441496219E-3</v>
      </c>
      <c r="AD63" s="32">
        <f t="shared" si="14"/>
        <v>3.2978537514263273E-3</v>
      </c>
      <c r="AE63" s="32">
        <f t="shared" si="14"/>
        <v>3.2978537514263273E-3</v>
      </c>
      <c r="AF63" s="32">
        <f t="shared" si="14"/>
        <v>3.2978537514263273E-3</v>
      </c>
      <c r="AG63" s="32">
        <f t="shared" si="14"/>
        <v>3.2978537514263273E-3</v>
      </c>
      <c r="AH63" s="32">
        <f t="shared" si="14"/>
        <v>3.2978537514263273E-3</v>
      </c>
      <c r="AI63" s="32">
        <f t="shared" si="14"/>
        <v>3.2978537514263273E-3</v>
      </c>
      <c r="AJ63" s="32">
        <f t="shared" si="14"/>
        <v>3.2978537514263273E-3</v>
      </c>
    </row>
    <row r="64" spans="1:36" ht="11.25" customHeight="1" x14ac:dyDescent="0.2">
      <c r="A64" s="6" t="s">
        <v>25</v>
      </c>
      <c r="B64" s="32">
        <f t="shared" si="15"/>
        <v>1.0439846190974933E-3</v>
      </c>
      <c r="C64" s="32">
        <f t="shared" si="14"/>
        <v>1.0604595907135472E-3</v>
      </c>
      <c r="D64" s="32">
        <f t="shared" si="14"/>
        <v>1.2332669717645128E-3</v>
      </c>
      <c r="E64" s="32">
        <f t="shared" si="14"/>
        <v>1.5451345433195041E-3</v>
      </c>
      <c r="F64" s="32">
        <f t="shared" si="14"/>
        <v>1.5369411743291206E-3</v>
      </c>
      <c r="G64" s="32">
        <f t="shared" si="14"/>
        <v>1.4385631912894326E-3</v>
      </c>
      <c r="H64" s="32">
        <f t="shared" si="14"/>
        <v>1.3811269034134099E-3</v>
      </c>
      <c r="I64" s="32">
        <f t="shared" si="14"/>
        <v>1.422156520640705E-3</v>
      </c>
      <c r="J64" s="32">
        <f t="shared" si="14"/>
        <v>1.4385631912894326E-3</v>
      </c>
      <c r="K64" s="32">
        <f t="shared" si="14"/>
        <v>1.5697102274137009E-3</v>
      </c>
      <c r="L64" s="32">
        <f t="shared" si="14"/>
        <v>1.9293936717392768E-3</v>
      </c>
      <c r="M64" s="32">
        <f t="shared" si="14"/>
        <v>2.157545786668047E-3</v>
      </c>
      <c r="N64" s="32">
        <f t="shared" si="14"/>
        <v>2.157545786668047E-3</v>
      </c>
      <c r="O64" s="32">
        <f t="shared" si="14"/>
        <v>2.5635446626290914E-3</v>
      </c>
      <c r="P64" s="32">
        <f t="shared" si="14"/>
        <v>2.4905982303202734E-3</v>
      </c>
      <c r="Q64" s="32">
        <f t="shared" si="14"/>
        <v>2.8951194362685229E-3</v>
      </c>
      <c r="R64" s="32">
        <f t="shared" si="14"/>
        <v>3.281778480337616E-3</v>
      </c>
      <c r="S64" s="32">
        <f t="shared" si="14"/>
        <v>3.7628086026935126E-3</v>
      </c>
      <c r="T64" s="32">
        <f t="shared" si="14"/>
        <v>4.1696998373528249E-3</v>
      </c>
      <c r="U64" s="32">
        <f t="shared" si="14"/>
        <v>3.5947364110451296E-3</v>
      </c>
      <c r="V64" s="32">
        <f t="shared" si="14"/>
        <v>3.3621265190633132E-3</v>
      </c>
      <c r="W64" s="32">
        <f t="shared" si="14"/>
        <v>3.8507230235700352E-3</v>
      </c>
      <c r="X64" s="32">
        <f t="shared" si="14"/>
        <v>4.4875659696987924E-3</v>
      </c>
      <c r="Y64" s="32">
        <f t="shared" si="14"/>
        <v>4.1617389871715371E-3</v>
      </c>
      <c r="Z64" s="32">
        <f t="shared" si="14"/>
        <v>3.8427343023630378E-3</v>
      </c>
      <c r="AA64" s="32">
        <f t="shared" si="14"/>
        <v>3.650794881391306E-3</v>
      </c>
      <c r="AB64" s="32">
        <f t="shared" si="14"/>
        <v>3.7628086026935126E-3</v>
      </c>
      <c r="AC64" s="32">
        <f t="shared" si="14"/>
        <v>3.8107724223526152E-3</v>
      </c>
      <c r="AD64" s="32">
        <f t="shared" si="14"/>
        <v>3.7947872834442897E-3</v>
      </c>
      <c r="AE64" s="32">
        <f t="shared" si="14"/>
        <v>3.6748094004368514E-3</v>
      </c>
      <c r="AF64" s="32">
        <f t="shared" si="14"/>
        <v>3.5546735478100278E-3</v>
      </c>
      <c r="AG64" s="32">
        <f t="shared" si="14"/>
        <v>3.3942459274463044E-3</v>
      </c>
      <c r="AH64" s="32">
        <f t="shared" si="14"/>
        <v>3.4825160297176083E-3</v>
      </c>
      <c r="AI64" s="32">
        <f t="shared" si="14"/>
        <v>3.6668052630131065E-3</v>
      </c>
      <c r="AJ64" s="32">
        <f t="shared" si="14"/>
        <v>3.8507230235700352E-3</v>
      </c>
    </row>
    <row r="65" spans="1:36" ht="11.25" customHeight="1" x14ac:dyDescent="0.2">
      <c r="A65" s="6" t="s">
        <v>26</v>
      </c>
      <c r="B65" s="32">
        <f t="shared" si="15"/>
        <v>-3.9251292414854699E-4</v>
      </c>
      <c r="C65" s="32">
        <f t="shared" si="14"/>
        <v>-3.6740819646374767E-4</v>
      </c>
      <c r="D65" s="32">
        <f t="shared" si="14"/>
        <v>-2.3363331454673286E-4</v>
      </c>
      <c r="E65" s="32">
        <f t="shared" si="14"/>
        <v>-2.5003438159032498E-5</v>
      </c>
      <c r="F65" s="32">
        <f t="shared" si="14"/>
        <v>0</v>
      </c>
      <c r="G65" s="32">
        <f t="shared" si="14"/>
        <v>9.1620483841925449E-5</v>
      </c>
      <c r="H65" s="32">
        <f t="shared" si="14"/>
        <v>9.1620483841925449E-5</v>
      </c>
      <c r="I65" s="32">
        <f t="shared" si="14"/>
        <v>-4.167621832917856E-5</v>
      </c>
      <c r="J65" s="32">
        <f t="shared" si="14"/>
        <v>-1.3343121117848078E-4</v>
      </c>
      <c r="K65" s="32">
        <f t="shared" si="14"/>
        <v>-8.3337153021778576E-6</v>
      </c>
      <c r="L65" s="32">
        <f t="shared" si="14"/>
        <v>8.3295163273211514E-5</v>
      </c>
      <c r="M65" s="32">
        <f t="shared" si="14"/>
        <v>8.3329514133367866E-6</v>
      </c>
      <c r="N65" s="32">
        <f t="shared" si="14"/>
        <v>-6.6691123612239167E-5</v>
      </c>
      <c r="O65" s="32">
        <f t="shared" si="14"/>
        <v>9.1620483841925449E-5</v>
      </c>
      <c r="P65" s="32">
        <f t="shared" si="14"/>
        <v>3.8252750614442554E-4</v>
      </c>
      <c r="Q65" s="32">
        <f t="shared" si="14"/>
        <v>4.7376356288175714E-4</v>
      </c>
      <c r="R65" s="32">
        <f t="shared" si="14"/>
        <v>8.6256279802077174E-4</v>
      </c>
      <c r="S65" s="32">
        <f t="shared" si="14"/>
        <v>1.0769315803607071E-3</v>
      </c>
      <c r="T65" s="32">
        <f t="shared" si="14"/>
        <v>1.5205522240770986E-3</v>
      </c>
      <c r="U65" s="32">
        <f t="shared" si="14"/>
        <v>1.3154410275031392E-3</v>
      </c>
      <c r="V65" s="32">
        <f t="shared" si="14"/>
        <v>1.1427897418165855E-3</v>
      </c>
      <c r="W65" s="32">
        <f t="shared" si="14"/>
        <v>1.8151029571964461E-3</v>
      </c>
      <c r="X65" s="32">
        <f t="shared" si="14"/>
        <v>2.1412681429993086E-3</v>
      </c>
      <c r="Y65" s="32">
        <f t="shared" si="14"/>
        <v>1.9620218377029985E-3</v>
      </c>
      <c r="Z65" s="32">
        <f t="shared" si="14"/>
        <v>1.8885920210915952E-3</v>
      </c>
      <c r="AA65" s="32">
        <f t="shared" si="14"/>
        <v>2.0027906163269105E-3</v>
      </c>
      <c r="AB65" s="32">
        <f t="shared" si="14"/>
        <v>2.10056130513947E-3</v>
      </c>
      <c r="AC65" s="32">
        <f t="shared" si="14"/>
        <v>2.10056130513947E-3</v>
      </c>
      <c r="AD65" s="32">
        <f t="shared" si="14"/>
        <v>2.1412681429993086E-3</v>
      </c>
      <c r="AE65" s="32">
        <f t="shared" si="14"/>
        <v>2.0924177544194844E-3</v>
      </c>
      <c r="AF65" s="32">
        <f t="shared" si="14"/>
        <v>2.1168462230236607E-3</v>
      </c>
      <c r="AG65" s="32">
        <f t="shared" si="14"/>
        <v>2.2226272943570713E-3</v>
      </c>
      <c r="AH65" s="32">
        <f t="shared" si="14"/>
        <v>2.2795355034983533E-3</v>
      </c>
      <c r="AI65" s="32">
        <f t="shared" si="14"/>
        <v>2.3282856950768149E-3</v>
      </c>
      <c r="AJ65" s="32">
        <f t="shared" si="14"/>
        <v>2.5068135950498949E-3</v>
      </c>
    </row>
    <row r="66" spans="1:36" ht="11.25" customHeight="1" x14ac:dyDescent="0.2">
      <c r="A66" s="6" t="s">
        <v>27</v>
      </c>
      <c r="B66" s="32">
        <f t="shared" si="15"/>
        <v>1.782422107218018E-3</v>
      </c>
      <c r="C66" s="32">
        <f t="shared" si="14"/>
        <v>1.8314389855391688E-3</v>
      </c>
      <c r="D66" s="32">
        <f t="shared" si="14"/>
        <v>2.0027906163269105E-3</v>
      </c>
      <c r="E66" s="32">
        <f t="shared" si="14"/>
        <v>2.206361275312263E-3</v>
      </c>
      <c r="F66" s="32">
        <f t="shared" si="14"/>
        <v>2.2144946478330763E-3</v>
      </c>
      <c r="G66" s="32">
        <f t="shared" si="14"/>
        <v>2.4175933636538804E-3</v>
      </c>
      <c r="H66" s="32">
        <f t="shared" si="14"/>
        <v>2.3445299646698281E-3</v>
      </c>
      <c r="I66" s="32">
        <f t="shared" si="14"/>
        <v>2.3282856950768149E-3</v>
      </c>
      <c r="J66" s="32">
        <f t="shared" si="14"/>
        <v>2.3364081918575419E-3</v>
      </c>
      <c r="K66" s="32">
        <f t="shared" si="14"/>
        <v>2.5473393892132545E-3</v>
      </c>
      <c r="L66" s="32">
        <f t="shared" si="14"/>
        <v>3.0241880399000109E-3</v>
      </c>
      <c r="M66" s="32">
        <f t="shared" si="14"/>
        <v>3.329995796502061E-3</v>
      </c>
      <c r="N66" s="32">
        <f t="shared" si="14"/>
        <v>3.5947364110451296E-3</v>
      </c>
      <c r="O66" s="32">
        <f t="shared" si="14"/>
        <v>3.8427343023630378E-3</v>
      </c>
      <c r="P66" s="32">
        <f t="shared" si="14"/>
        <v>3.9624917561102979E-3</v>
      </c>
      <c r="Q66" s="32">
        <f t="shared" si="14"/>
        <v>4.8043294764150701E-3</v>
      </c>
      <c r="R66" s="32">
        <f t="shared" si="14"/>
        <v>5.3324599488508984E-3</v>
      </c>
      <c r="S66" s="32">
        <f t="shared" si="14"/>
        <v>5.8106552987937654E-3</v>
      </c>
      <c r="T66" s="32">
        <f t="shared" si="14"/>
        <v>6.395193395115184E-3</v>
      </c>
      <c r="U66" s="32">
        <f t="shared" si="14"/>
        <v>6.8292259232971553E-3</v>
      </c>
      <c r="V66" s="32">
        <f t="shared" si="14"/>
        <v>6.5814594702919837E-3</v>
      </c>
      <c r="W66" s="32">
        <f t="shared" si="14"/>
        <v>7.3842605821201612E-3</v>
      </c>
      <c r="X66" s="32">
        <f t="shared" si="14"/>
        <v>8.1648460519010424E-3</v>
      </c>
      <c r="Y66" s="32">
        <f t="shared" si="14"/>
        <v>7.0608994227128186E-3</v>
      </c>
      <c r="Z66" s="32">
        <f t="shared" si="14"/>
        <v>6.921965694651977E-3</v>
      </c>
      <c r="AA66" s="32">
        <f t="shared" si="14"/>
        <v>6.247463339722259E-3</v>
      </c>
      <c r="AB66" s="32">
        <f t="shared" si="14"/>
        <v>6.6124669857590135E-3</v>
      </c>
      <c r="AC66" s="32">
        <f t="shared" si="14"/>
        <v>6.8524196765606948E-3</v>
      </c>
      <c r="AD66" s="32">
        <f t="shared" si="14"/>
        <v>6.7054265433414972E-3</v>
      </c>
      <c r="AE66" s="32">
        <f t="shared" si="14"/>
        <v>6.2630251108877211E-3</v>
      </c>
      <c r="AF66" s="32">
        <f t="shared" si="14"/>
        <v>5.8106552987937654E-3</v>
      </c>
      <c r="AG66" s="32">
        <f t="shared" si="14"/>
        <v>5.7324338322313206E-3</v>
      </c>
      <c r="AH66" s="32">
        <f t="shared" si="14"/>
        <v>5.9668977756095476E-3</v>
      </c>
      <c r="AI66" s="32">
        <f t="shared" si="14"/>
        <v>5.7167815053633664E-3</v>
      </c>
      <c r="AJ66" s="32">
        <f t="shared" si="14"/>
        <v>6.0683124257288057E-3</v>
      </c>
    </row>
    <row r="67" spans="1:36" ht="11.25" customHeight="1" x14ac:dyDescent="0.2">
      <c r="A67" s="6" t="s">
        <v>28</v>
      </c>
      <c r="B67" s="32">
        <f t="shared" si="15"/>
        <v>1.0686959582126843E-3</v>
      </c>
      <c r="C67" s="32">
        <f t="shared" si="14"/>
        <v>9.86298719130696E-4</v>
      </c>
      <c r="D67" s="32">
        <f t="shared" si="14"/>
        <v>1.0851664572986142E-3</v>
      </c>
      <c r="E67" s="32">
        <f t="shared" si="14"/>
        <v>1.2661454966749197E-3</v>
      </c>
      <c r="F67" s="32">
        <f t="shared" si="14"/>
        <v>1.2825803067024744E-3</v>
      </c>
      <c r="G67" s="32">
        <f t="shared" si="14"/>
        <v>1.504160323205328E-3</v>
      </c>
      <c r="H67" s="32">
        <f t="shared" si="14"/>
        <v>1.4713676651572083E-3</v>
      </c>
      <c r="I67" s="32">
        <f t="shared" si="14"/>
        <v>1.3318669405149031E-3</v>
      </c>
      <c r="J67" s="32">
        <f t="shared" si="14"/>
        <v>1.323654354508319E-3</v>
      </c>
      <c r="K67" s="32">
        <f t="shared" si="14"/>
        <v>1.5451345433195041E-3</v>
      </c>
      <c r="L67" s="32">
        <f t="shared" si="14"/>
        <v>2.1656835180154932E-3</v>
      </c>
      <c r="M67" s="32">
        <f t="shared" si="14"/>
        <v>2.5635446626290914E-3</v>
      </c>
      <c r="N67" s="32">
        <f t="shared" si="14"/>
        <v>2.749698516855581E-3</v>
      </c>
      <c r="O67" s="32">
        <f t="shared" si="14"/>
        <v>3.2737397821989145E-3</v>
      </c>
      <c r="P67" s="32">
        <f t="shared" si="14"/>
        <v>3.2335356603379051E-3</v>
      </c>
      <c r="Q67" s="32">
        <f t="shared" si="14"/>
        <v>3.9385528336748354E-3</v>
      </c>
      <c r="R67" s="32">
        <f t="shared" si="14"/>
        <v>4.8359454901756305E-3</v>
      </c>
      <c r="S67" s="32">
        <f t="shared" si="14"/>
        <v>5.3717505475605609E-3</v>
      </c>
      <c r="T67" s="32">
        <f t="shared" si="14"/>
        <v>5.7637304495372632E-3</v>
      </c>
      <c r="U67" s="32">
        <f t="shared" si="14"/>
        <v>5.1593803560010532E-3</v>
      </c>
      <c r="V67" s="32">
        <f t="shared" si="14"/>
        <v>4.7094157243421364E-3</v>
      </c>
      <c r="W67" s="32">
        <f t="shared" si="14"/>
        <v>5.0884804742696854E-3</v>
      </c>
      <c r="X67" s="32">
        <f t="shared" si="14"/>
        <v>6.2941407136822836E-3</v>
      </c>
      <c r="Y67" s="32">
        <f t="shared" si="14"/>
        <v>5.8419251583290421E-3</v>
      </c>
      <c r="Z67" s="32">
        <f t="shared" si="14"/>
        <v>5.3481782152988711E-3</v>
      </c>
      <c r="AA67" s="32">
        <f t="shared" si="14"/>
        <v>4.8833490034265736E-3</v>
      </c>
      <c r="AB67" s="32">
        <f t="shared" si="14"/>
        <v>5.0096382503947989E-3</v>
      </c>
      <c r="AC67" s="32">
        <f t="shared" si="14"/>
        <v>4.9780823011333908E-3</v>
      </c>
      <c r="AD67" s="32">
        <f t="shared" si="14"/>
        <v>4.9228331496837807E-3</v>
      </c>
      <c r="AE67" s="32">
        <f t="shared" si="14"/>
        <v>4.8122345057812765E-3</v>
      </c>
      <c r="AF67" s="32">
        <f t="shared" si="14"/>
        <v>4.7964237628919104E-3</v>
      </c>
      <c r="AG67" s="32">
        <f t="shared" si="14"/>
        <v>4.5034302658089054E-3</v>
      </c>
      <c r="AH67" s="32">
        <f t="shared" si="14"/>
        <v>4.5430789527656223E-3</v>
      </c>
      <c r="AI67" s="32">
        <f t="shared" si="14"/>
        <v>4.6144032393260481E-3</v>
      </c>
      <c r="AJ67" s="32">
        <f t="shared" si="14"/>
        <v>4.7410646014303115E-3</v>
      </c>
    </row>
    <row r="68" spans="1:36" ht="11.25" customHeight="1" x14ac:dyDescent="0.2">
      <c r="A68" s="6" t="s">
        <v>29</v>
      </c>
      <c r="B68" s="32">
        <f t="shared" si="15"/>
        <v>2.4175933636538804E-3</v>
      </c>
      <c r="C68" s="32">
        <f t="shared" si="14"/>
        <v>2.2388904099577278E-3</v>
      </c>
      <c r="D68" s="32">
        <f t="shared" si="14"/>
        <v>2.18195680041533E-3</v>
      </c>
      <c r="E68" s="32">
        <f t="shared" si="14"/>
        <v>2.4338217222530378E-3</v>
      </c>
      <c r="F68" s="32">
        <f t="shared" si="14"/>
        <v>2.3364081918575419E-3</v>
      </c>
      <c r="G68" s="32">
        <f t="shared" si="14"/>
        <v>2.4905982303202734E-3</v>
      </c>
      <c r="H68" s="32">
        <f t="shared" si="14"/>
        <v>2.5554423860907338E-3</v>
      </c>
      <c r="I68" s="32">
        <f t="shared" si="14"/>
        <v>2.6607158433307188E-3</v>
      </c>
      <c r="J68" s="32">
        <f t="shared" si="14"/>
        <v>3.0483680766628662E-3</v>
      </c>
      <c r="K68" s="32">
        <f t="shared" si="14"/>
        <v>3.2737397821989145E-3</v>
      </c>
      <c r="L68" s="32">
        <f t="shared" si="14"/>
        <v>3.8746849921291737E-3</v>
      </c>
      <c r="M68" s="32">
        <f t="shared" si="14"/>
        <v>4.1617389871715371E-3</v>
      </c>
      <c r="N68" s="32">
        <f t="shared" si="14"/>
        <v>4.3684958147485187E-3</v>
      </c>
      <c r="O68" s="32">
        <f t="shared" si="14"/>
        <v>4.3684958147485187E-3</v>
      </c>
      <c r="P68" s="32">
        <f t="shared" si="14"/>
        <v>4.5510066248739545E-3</v>
      </c>
      <c r="Q68" s="32">
        <f t="shared" si="14"/>
        <v>5.0254121388362272E-3</v>
      </c>
      <c r="R68" s="32">
        <f t="shared" si="14"/>
        <v>5.3481782152988711E-3</v>
      </c>
      <c r="S68" s="32">
        <f t="shared" si="14"/>
        <v>6.309694547193212E-3</v>
      </c>
      <c r="T68" s="32">
        <f t="shared" si="14"/>
        <v>7.0068946918386832E-3</v>
      </c>
      <c r="U68" s="32">
        <f t="shared" si="14"/>
        <v>7.4073141725286007E-3</v>
      </c>
      <c r="V68" s="32">
        <f t="shared" si="14"/>
        <v>6.5426852946426362E-3</v>
      </c>
      <c r="W68" s="32">
        <f t="shared" si="14"/>
        <v>6.4883738308543215E-3</v>
      </c>
      <c r="X68" s="32">
        <f t="shared" si="14"/>
        <v>7.307373340341039E-3</v>
      </c>
      <c r="Y68" s="32">
        <f t="shared" si="14"/>
        <v>6.1618262441982541E-3</v>
      </c>
      <c r="Z68" s="32">
        <f t="shared" si="14"/>
        <v>5.7871958844142313E-3</v>
      </c>
      <c r="AA68" s="32">
        <f t="shared" si="14"/>
        <v>5.4973670825229082E-3</v>
      </c>
      <c r="AB68" s="32">
        <f t="shared" si="14"/>
        <v>6.0137185116289071E-3</v>
      </c>
      <c r="AC68" s="32">
        <f t="shared" si="14"/>
        <v>5.7324338322313206E-3</v>
      </c>
      <c r="AD68" s="32">
        <f t="shared" si="14"/>
        <v>5.6541453874052738E-3</v>
      </c>
      <c r="AE68" s="32">
        <f t="shared" si="14"/>
        <v>5.1042407584538374E-3</v>
      </c>
      <c r="AF68" s="32">
        <f t="shared" si="14"/>
        <v>4.9544081844810073E-3</v>
      </c>
      <c r="AG68" s="32">
        <f t="shared" si="14"/>
        <v>5.0254121388362272E-3</v>
      </c>
      <c r="AH68" s="32">
        <f t="shared" si="14"/>
        <v>5.1357531740776619E-3</v>
      </c>
      <c r="AI68" s="32">
        <f t="shared" si="14"/>
        <v>6.029320098462243E-3</v>
      </c>
      <c r="AJ68" s="32">
        <f t="shared" si="14"/>
        <v>5.5052123869754332E-3</v>
      </c>
    </row>
    <row r="69" spans="1:36" ht="11.25" customHeight="1" x14ac:dyDescent="0.2">
      <c r="A69" s="6" t="s">
        <v>30</v>
      </c>
      <c r="B69" s="32">
        <f t="shared" si="15"/>
        <v>8.3329514133367866E-6</v>
      </c>
      <c r="C69" s="32">
        <f t="shared" si="14"/>
        <v>5.8314626421251958E-5</v>
      </c>
      <c r="D69" s="32">
        <f t="shared" si="14"/>
        <v>2.0809499864316017E-4</v>
      </c>
      <c r="E69" s="32">
        <f t="shared" si="14"/>
        <v>3.3272377940973819E-4</v>
      </c>
      <c r="F69" s="32">
        <f t="shared" si="14"/>
        <v>3.0781168409865778E-4</v>
      </c>
      <c r="G69" s="32">
        <f t="shared" si="14"/>
        <v>3.4932805237719577E-4</v>
      </c>
      <c r="H69" s="32">
        <f t="shared" si="14"/>
        <v>2.9950613551976701E-4</v>
      </c>
      <c r="I69" s="32">
        <f t="shared" si="14"/>
        <v>1.4987639212593606E-4</v>
      </c>
      <c r="J69" s="32">
        <f t="shared" si="14"/>
        <v>9.1620483841925449E-5</v>
      </c>
      <c r="K69" s="32">
        <f t="shared" si="14"/>
        <v>2.2472204186096967E-4</v>
      </c>
      <c r="L69" s="32">
        <f t="shared" si="14"/>
        <v>3.1611647417673083E-4</v>
      </c>
      <c r="M69" s="32">
        <f t="shared" si="14"/>
        <v>2.2472204186096967E-4</v>
      </c>
      <c r="N69" s="32">
        <f t="shared" si="14"/>
        <v>1.1659187244639213E-4</v>
      </c>
      <c r="O69" s="32">
        <f t="shared" si="14"/>
        <v>2.9950613551976701E-4</v>
      </c>
      <c r="P69" s="32">
        <f t="shared" si="14"/>
        <v>5.0691763232846299E-4</v>
      </c>
      <c r="Q69" s="32">
        <f t="shared" si="14"/>
        <v>6.807785134408384E-4</v>
      </c>
      <c r="R69" s="32">
        <f t="shared" si="14"/>
        <v>1.2168232546390101E-3</v>
      </c>
      <c r="S69" s="32">
        <f t="shared" si="14"/>
        <v>1.4631676547709471E-3</v>
      </c>
      <c r="T69" s="32">
        <f t="shared" si="14"/>
        <v>1.5369411743291206E-3</v>
      </c>
      <c r="U69" s="32">
        <f t="shared" si="14"/>
        <v>1.2661454966749197E-3</v>
      </c>
      <c r="V69" s="32">
        <f t="shared" si="14"/>
        <v>1.3318669405149031E-3</v>
      </c>
      <c r="W69" s="32">
        <f t="shared" si="14"/>
        <v>1.717025203279432E-3</v>
      </c>
      <c r="X69" s="32">
        <f t="shared" si="14"/>
        <v>1.8722662416574831E-3</v>
      </c>
      <c r="Y69" s="32">
        <f t="shared" si="14"/>
        <v>1.6924892515723933E-3</v>
      </c>
      <c r="Z69" s="32">
        <f t="shared" si="14"/>
        <v>1.6270277079681872E-3</v>
      </c>
      <c r="AA69" s="32">
        <f t="shared" si="14"/>
        <v>1.717025203279432E-3</v>
      </c>
      <c r="AB69" s="32">
        <f t="shared" si="14"/>
        <v>1.9538658918776264E-3</v>
      </c>
      <c r="AC69" s="32">
        <f t="shared" si="14"/>
        <v>1.937551809032545E-3</v>
      </c>
      <c r="AD69" s="32">
        <f t="shared" si="14"/>
        <v>1.9538658918776264E-3</v>
      </c>
      <c r="AE69" s="32">
        <f t="shared" si="14"/>
        <v>1.913075204727166E-3</v>
      </c>
      <c r="AF69" s="32">
        <f t="shared" si="14"/>
        <v>2.027243128015721E-3</v>
      </c>
      <c r="AG69" s="32">
        <f t="shared" si="14"/>
        <v>2.0761284687424997E-3</v>
      </c>
      <c r="AH69" s="32">
        <f t="shared" si="14"/>
        <v>2.2632796417700884E-3</v>
      </c>
      <c r="AI69" s="32">
        <f t="shared" ref="AI69:AJ69" si="16">(1+(AI47/100))^(1/12)-1</f>
        <v>2.3607713389290907E-3</v>
      </c>
      <c r="AJ69" s="32">
        <f t="shared" si="16"/>
        <v>2.4824894659052354E-3</v>
      </c>
    </row>
    <row r="71" spans="1:36" ht="11.25" customHeight="1" x14ac:dyDescent="0.2">
      <c r="A71" s="26" t="s">
        <v>82</v>
      </c>
      <c r="B71">
        <f>+(1+B63)/(1+B$62)</f>
        <v>1.0003417767955747</v>
      </c>
      <c r="C71">
        <f t="shared" ref="C71:AJ76" si="17">+(1+C63)/(1+C$62)</f>
        <v>1.0003083658041052</v>
      </c>
      <c r="D71">
        <f t="shared" si="17"/>
        <v>1.0001749366492787</v>
      </c>
      <c r="E71">
        <f t="shared" si="17"/>
        <v>1.0000915930197769</v>
      </c>
      <c r="F71">
        <f t="shared" si="17"/>
        <v>1.0000499463092039</v>
      </c>
      <c r="G71">
        <f t="shared" si="17"/>
        <v>0.99992514129080512</v>
      </c>
      <c r="H71">
        <f t="shared" si="17"/>
        <v>0.99998335843430652</v>
      </c>
      <c r="I71">
        <f t="shared" si="17"/>
        <v>1.0000999250680971</v>
      </c>
      <c r="J71">
        <f t="shared" si="17"/>
        <v>1.0001916372064699</v>
      </c>
      <c r="K71">
        <f t="shared" si="17"/>
        <v>1.0000749241443208</v>
      </c>
      <c r="L71">
        <f t="shared" si="17"/>
        <v>1.0000249416989639</v>
      </c>
      <c r="M71">
        <f t="shared" si="17"/>
        <v>1.0000665291765511</v>
      </c>
      <c r="N71">
        <f t="shared" si="17"/>
        <v>1.0002576325623755</v>
      </c>
      <c r="O71">
        <f t="shared" si="17"/>
        <v>1.0001409928717908</v>
      </c>
      <c r="P71">
        <f t="shared" si="17"/>
        <v>0.99986758910140106</v>
      </c>
      <c r="Q71">
        <f t="shared" si="17"/>
        <v>1.0001650465141507</v>
      </c>
      <c r="R71">
        <f t="shared" si="17"/>
        <v>1.00019706384131</v>
      </c>
      <c r="S71">
        <f t="shared" si="17"/>
        <v>0.99994261800995432</v>
      </c>
      <c r="T71">
        <f t="shared" si="17"/>
        <v>0.99960795772540756</v>
      </c>
      <c r="U71">
        <f t="shared" si="17"/>
        <v>0.99995092385695772</v>
      </c>
      <c r="V71">
        <f t="shared" si="17"/>
        <v>1</v>
      </c>
      <c r="W71">
        <f t="shared" si="17"/>
        <v>0.99938067093002836</v>
      </c>
      <c r="X71">
        <f t="shared" si="17"/>
        <v>0.99906478379112407</v>
      </c>
      <c r="Y71">
        <f t="shared" si="17"/>
        <v>0.99920231860307018</v>
      </c>
      <c r="Z71">
        <f t="shared" si="17"/>
        <v>0.99918612525701389</v>
      </c>
      <c r="AA71">
        <f t="shared" si="17"/>
        <v>0.99912947539818919</v>
      </c>
      <c r="AB71">
        <f t="shared" si="17"/>
        <v>0.99972468941987103</v>
      </c>
      <c r="AC71">
        <f t="shared" si="17"/>
        <v>1.0008927902152547</v>
      </c>
      <c r="AD71">
        <f t="shared" si="17"/>
        <v>1.0007647867419116</v>
      </c>
      <c r="AE71">
        <f t="shared" si="17"/>
        <v>1.0007566966484414</v>
      </c>
      <c r="AF71">
        <f t="shared" si="17"/>
        <v>1.0007890621247149</v>
      </c>
      <c r="AG71">
        <f t="shared" si="17"/>
        <v>1.0007162589293386</v>
      </c>
      <c r="AH71">
        <f t="shared" si="17"/>
        <v>1.0006516027310695</v>
      </c>
      <c r="AI71">
        <f t="shared" si="17"/>
        <v>1.0005385849055044</v>
      </c>
      <c r="AJ71">
        <f t="shared" si="17"/>
        <v>1.0003613201009764</v>
      </c>
    </row>
    <row r="72" spans="1:36" ht="11.25" customHeight="1" x14ac:dyDescent="0.2">
      <c r="A72" s="26" t="s">
        <v>83</v>
      </c>
      <c r="B72">
        <f t="shared" ref="B72:Q76" si="18">+(1+B64)/(1+B$62)</f>
        <v>1.0012277283846081</v>
      </c>
      <c r="C72">
        <f t="shared" si="18"/>
        <v>1.0012107652480051</v>
      </c>
      <c r="D72">
        <f t="shared" si="18"/>
        <v>1.001283344911936</v>
      </c>
      <c r="E72">
        <f t="shared" si="18"/>
        <v>1.0015200999828855</v>
      </c>
      <c r="F72">
        <f t="shared" si="18"/>
        <v>1.0014702009621426</v>
      </c>
      <c r="G72">
        <f t="shared" si="18"/>
        <v>1.0012468595469752</v>
      </c>
      <c r="H72">
        <f t="shared" si="18"/>
        <v>1.0012477250065646</v>
      </c>
      <c r="I72">
        <f t="shared" si="18"/>
        <v>1.0014054679592377</v>
      </c>
      <c r="J72">
        <f t="shared" si="18"/>
        <v>1.0015137077215266</v>
      </c>
      <c r="K72">
        <f t="shared" si="18"/>
        <v>1.0015196480106319</v>
      </c>
      <c r="L72">
        <f t="shared" si="18"/>
        <v>1.0017459251761192</v>
      </c>
      <c r="M72">
        <f t="shared" si="18"/>
        <v>1.00201570404639</v>
      </c>
      <c r="N72">
        <f t="shared" si="18"/>
        <v>1.00204905509957</v>
      </c>
      <c r="O72">
        <f t="shared" si="18"/>
        <v>1.002230078882945</v>
      </c>
      <c r="P72">
        <f t="shared" si="18"/>
        <v>1.0018500021183494</v>
      </c>
      <c r="Q72">
        <f t="shared" si="18"/>
        <v>1.00215486934746</v>
      </c>
      <c r="R72">
        <f t="shared" si="17"/>
        <v>1.0021365471143957</v>
      </c>
      <c r="S72">
        <f t="shared" si="17"/>
        <v>1.0023619666880879</v>
      </c>
      <c r="T72">
        <f t="shared" si="17"/>
        <v>1.0023094760587123</v>
      </c>
      <c r="U72">
        <f t="shared" si="17"/>
        <v>1.0020136584098533</v>
      </c>
      <c r="V72">
        <f t="shared" si="17"/>
        <v>1.0018305809558332</v>
      </c>
      <c r="W72">
        <f t="shared" si="17"/>
        <v>1.0016976667179109</v>
      </c>
      <c r="X72">
        <f t="shared" si="17"/>
        <v>1.0020163233999426</v>
      </c>
      <c r="Y72">
        <f t="shared" si="17"/>
        <v>1.0018291944049282</v>
      </c>
      <c r="Z72">
        <f t="shared" si="17"/>
        <v>1.0014946999688281</v>
      </c>
      <c r="AA72">
        <f t="shared" si="17"/>
        <v>1.0012464396139535</v>
      </c>
      <c r="AB72">
        <f t="shared" si="17"/>
        <v>1.0012366623960158</v>
      </c>
      <c r="AC72">
        <f t="shared" si="17"/>
        <v>1.0012602228179162</v>
      </c>
      <c r="AD72">
        <f t="shared" si="17"/>
        <v>1.0012604656455746</v>
      </c>
      <c r="AE72">
        <f t="shared" si="17"/>
        <v>1.0011326975425687</v>
      </c>
      <c r="AF72">
        <f t="shared" si="17"/>
        <v>1.001045239731591</v>
      </c>
      <c r="AG72">
        <f t="shared" si="17"/>
        <v>1.0008124030777747</v>
      </c>
      <c r="AH72">
        <f t="shared" si="17"/>
        <v>1.0008357779528594</v>
      </c>
      <c r="AI72">
        <f t="shared" si="17"/>
        <v>1.000906521726979</v>
      </c>
      <c r="AJ72">
        <f t="shared" si="17"/>
        <v>1.0009125711904281</v>
      </c>
    </row>
    <row r="73" spans="1:36" ht="11.25" customHeight="1" x14ac:dyDescent="0.2">
      <c r="A73" s="26" t="s">
        <v>84</v>
      </c>
      <c r="B73">
        <f t="shared" si="18"/>
        <v>0.99979096716916394</v>
      </c>
      <c r="C73">
        <f t="shared" si="17"/>
        <v>0.99978268307157259</v>
      </c>
      <c r="D73">
        <f t="shared" si="17"/>
        <v>0.99981637125676337</v>
      </c>
      <c r="E73">
        <f t="shared" si="17"/>
        <v>0.99995000124847921</v>
      </c>
      <c r="F73">
        <f t="shared" si="17"/>
        <v>0.99993336220618267</v>
      </c>
      <c r="G73">
        <f t="shared" si="17"/>
        <v>0.9999001746824302</v>
      </c>
      <c r="H73">
        <f t="shared" si="17"/>
        <v>0.99995839037233814</v>
      </c>
      <c r="I73">
        <f t="shared" si="17"/>
        <v>0.99994165961483739</v>
      </c>
      <c r="J73">
        <f t="shared" si="17"/>
        <v>0.99994159536196647</v>
      </c>
      <c r="K73">
        <f t="shared" si="17"/>
        <v>0.99994168294448049</v>
      </c>
      <c r="L73">
        <f t="shared" si="17"/>
        <v>0.99990016471634013</v>
      </c>
      <c r="M73">
        <f t="shared" si="17"/>
        <v>0.99986679540291623</v>
      </c>
      <c r="N73">
        <f t="shared" si="17"/>
        <v>0.99982505897876617</v>
      </c>
      <c r="O73">
        <f t="shared" si="17"/>
        <v>0.99975897689854942</v>
      </c>
      <c r="P73">
        <f t="shared" si="17"/>
        <v>0.9997432784610808</v>
      </c>
      <c r="Q73">
        <f t="shared" si="17"/>
        <v>0.99973530070871575</v>
      </c>
      <c r="R73">
        <f t="shared" si="17"/>
        <v>0.99972009293113118</v>
      </c>
      <c r="S73">
        <f t="shared" si="17"/>
        <v>0.99967983805041138</v>
      </c>
      <c r="T73">
        <f t="shared" si="17"/>
        <v>0.99966523598983281</v>
      </c>
      <c r="U73">
        <f t="shared" si="17"/>
        <v>0.99973795386199271</v>
      </c>
      <c r="V73">
        <f t="shared" si="17"/>
        <v>0.9996146318043545</v>
      </c>
      <c r="W73">
        <f t="shared" si="17"/>
        <v>0.99966641264392975</v>
      </c>
      <c r="X73">
        <f t="shared" si="17"/>
        <v>0.99967579794043526</v>
      </c>
      <c r="Y73">
        <f t="shared" si="17"/>
        <v>0.99963458692865304</v>
      </c>
      <c r="Z73">
        <f t="shared" si="17"/>
        <v>0.99954512851624555</v>
      </c>
      <c r="AA73">
        <f t="shared" si="17"/>
        <v>0.99960238332337958</v>
      </c>
      <c r="AB73">
        <f t="shared" si="17"/>
        <v>0.99957859843706465</v>
      </c>
      <c r="AC73">
        <f t="shared" si="17"/>
        <v>0.99955435711958895</v>
      </c>
      <c r="AD73">
        <f t="shared" si="17"/>
        <v>0.99961112121234008</v>
      </c>
      <c r="AE73">
        <f t="shared" si="17"/>
        <v>0.99955431378489279</v>
      </c>
      <c r="AF73">
        <f t="shared" si="17"/>
        <v>0.99961100775901179</v>
      </c>
      <c r="AG73">
        <f t="shared" si="17"/>
        <v>0.999643799147234</v>
      </c>
      <c r="AH73">
        <f t="shared" si="17"/>
        <v>0.99963597035124385</v>
      </c>
      <c r="AI73">
        <f t="shared" si="17"/>
        <v>0.99957168335434254</v>
      </c>
      <c r="AJ73">
        <f t="shared" si="17"/>
        <v>0.99957259522518138</v>
      </c>
    </row>
    <row r="74" spans="1:36" ht="11.25" customHeight="1" x14ac:dyDescent="0.2">
      <c r="A74" s="26" t="s">
        <v>85</v>
      </c>
      <c r="B74">
        <f t="shared" si="18"/>
        <v>1.0019663014145097</v>
      </c>
      <c r="C74">
        <f t="shared" si="17"/>
        <v>1.0019818604026367</v>
      </c>
      <c r="D74">
        <f t="shared" si="17"/>
        <v>1.0020529070451907</v>
      </c>
      <c r="E74">
        <f t="shared" si="17"/>
        <v>1.0021813101868957</v>
      </c>
      <c r="F74">
        <f t="shared" si="17"/>
        <v>1.002147709284978</v>
      </c>
      <c r="G74">
        <f t="shared" si="17"/>
        <v>1.0022257023052947</v>
      </c>
      <c r="H74">
        <f t="shared" si="17"/>
        <v>1.0022109997252826</v>
      </c>
      <c r="I74">
        <f t="shared" si="17"/>
        <v>1.0023115820331567</v>
      </c>
      <c r="J74">
        <f t="shared" si="17"/>
        <v>1.0024116200933177</v>
      </c>
      <c r="K74">
        <f t="shared" si="17"/>
        <v>1.0024972283068532</v>
      </c>
      <c r="L74">
        <f t="shared" si="17"/>
        <v>1.0028405190707963</v>
      </c>
      <c r="M74">
        <f t="shared" si="17"/>
        <v>1.0031879881119066</v>
      </c>
      <c r="N74">
        <f t="shared" si="17"/>
        <v>1.0034860901378331</v>
      </c>
      <c r="O74">
        <f t="shared" si="17"/>
        <v>1.0035088430474333</v>
      </c>
      <c r="P74">
        <f t="shared" si="17"/>
        <v>1.0033209550973936</v>
      </c>
      <c r="Q74">
        <f t="shared" si="17"/>
        <v>1.0040626701745448</v>
      </c>
      <c r="R74">
        <f t="shared" si="17"/>
        <v>1.0041848877602313</v>
      </c>
      <c r="S74">
        <f t="shared" si="17"/>
        <v>1.0044069554286412</v>
      </c>
      <c r="T74">
        <f t="shared" si="17"/>
        <v>1.0045308468909673</v>
      </c>
      <c r="U74">
        <f t="shared" si="17"/>
        <v>1.0052430522594564</v>
      </c>
      <c r="V74">
        <f t="shared" si="17"/>
        <v>1.0050449998735662</v>
      </c>
      <c r="W74">
        <f t="shared" si="17"/>
        <v>1.0052236255546976</v>
      </c>
      <c r="X74">
        <f t="shared" si="17"/>
        <v>1.0056845566294133</v>
      </c>
      <c r="Y74">
        <f t="shared" si="17"/>
        <v>1.0047216204462932</v>
      </c>
      <c r="Z74">
        <f t="shared" si="17"/>
        <v>1.004566728897242</v>
      </c>
      <c r="AA74">
        <f t="shared" si="17"/>
        <v>1.0038368874689458</v>
      </c>
      <c r="AB74">
        <f t="shared" si="17"/>
        <v>1.0040791491109811</v>
      </c>
      <c r="AC74">
        <f t="shared" si="17"/>
        <v>1.0042941416511766</v>
      </c>
      <c r="AD74">
        <f t="shared" si="17"/>
        <v>1.0041637562958259</v>
      </c>
      <c r="AE74">
        <f t="shared" si="17"/>
        <v>1.0037143578091781</v>
      </c>
      <c r="AF74">
        <f t="shared" si="17"/>
        <v>1.0032955802982486</v>
      </c>
      <c r="AG74">
        <f t="shared" si="17"/>
        <v>1.0031445745700203</v>
      </c>
      <c r="AH74">
        <f t="shared" si="17"/>
        <v>1.0033136070108277</v>
      </c>
      <c r="AI74">
        <f t="shared" si="17"/>
        <v>1.00295086012653</v>
      </c>
      <c r="AJ74">
        <f t="shared" si="17"/>
        <v>1.0031236699718027</v>
      </c>
    </row>
    <row r="75" spans="1:36" ht="11.25" customHeight="1" x14ac:dyDescent="0.2">
      <c r="A75" s="26" t="s">
        <v>86</v>
      </c>
      <c r="B75">
        <f t="shared" si="18"/>
        <v>1.0012524442595423</v>
      </c>
      <c r="C75">
        <f t="shared" si="17"/>
        <v>1.0011365932414318</v>
      </c>
      <c r="D75">
        <f t="shared" si="17"/>
        <v>1.0011352369900368</v>
      </c>
      <c r="E75">
        <f t="shared" si="17"/>
        <v>1.0012411179098339</v>
      </c>
      <c r="F75">
        <f t="shared" si="17"/>
        <v>1.0012158570445631</v>
      </c>
      <c r="G75">
        <f t="shared" si="17"/>
        <v>1.0013124441217462</v>
      </c>
      <c r="H75">
        <f t="shared" si="17"/>
        <v>1.0013379537466232</v>
      </c>
      <c r="I75">
        <f t="shared" si="17"/>
        <v>1.0013151798837752</v>
      </c>
      <c r="J75">
        <f t="shared" si="17"/>
        <v>1.0013987902623787</v>
      </c>
      <c r="K75">
        <f t="shared" si="17"/>
        <v>1.0014950735549226</v>
      </c>
      <c r="L75">
        <f t="shared" si="17"/>
        <v>1.0019821717541342</v>
      </c>
      <c r="M75">
        <f t="shared" si="17"/>
        <v>1.0024216454587442</v>
      </c>
      <c r="N75">
        <f t="shared" si="17"/>
        <v>1.00264114372501</v>
      </c>
      <c r="O75">
        <f t="shared" si="17"/>
        <v>1.0029400377823066</v>
      </c>
      <c r="P75">
        <f t="shared" si="17"/>
        <v>1.0025924648079256</v>
      </c>
      <c r="Q75">
        <f t="shared" si="17"/>
        <v>1.003197532572941</v>
      </c>
      <c r="R75">
        <f t="shared" si="17"/>
        <v>1.003688940065494</v>
      </c>
      <c r="S75">
        <f t="shared" si="17"/>
        <v>1.0039686632087419</v>
      </c>
      <c r="T75">
        <f t="shared" si="17"/>
        <v>1.0039005537301247</v>
      </c>
      <c r="U75">
        <f t="shared" si="17"/>
        <v>1.0035758373915813</v>
      </c>
      <c r="V75">
        <f t="shared" si="17"/>
        <v>1.0031758136405895</v>
      </c>
      <c r="W75">
        <f t="shared" si="17"/>
        <v>1.0029327694297903</v>
      </c>
      <c r="X75">
        <f t="shared" si="17"/>
        <v>1.0038184536046764</v>
      </c>
      <c r="Y75">
        <f t="shared" si="17"/>
        <v>1.0035054777096464</v>
      </c>
      <c r="Z75">
        <f t="shared" si="17"/>
        <v>1.0029966225791993</v>
      </c>
      <c r="AA75">
        <f t="shared" si="17"/>
        <v>1.0024760410177618</v>
      </c>
      <c r="AB75">
        <f t="shared" si="17"/>
        <v>1.0024803541769245</v>
      </c>
      <c r="AC75">
        <f t="shared" si="17"/>
        <v>1.0024245667176186</v>
      </c>
      <c r="AD75">
        <f t="shared" si="17"/>
        <v>1.0023856634884099</v>
      </c>
      <c r="AE75">
        <f t="shared" si="17"/>
        <v>1.0022672417727327</v>
      </c>
      <c r="AF75">
        <f t="shared" si="17"/>
        <v>1.0022838848941398</v>
      </c>
      <c r="AG75">
        <f t="shared" si="17"/>
        <v>1.0019187333638397</v>
      </c>
      <c r="AH75">
        <f t="shared" si="17"/>
        <v>1.0018935435852456</v>
      </c>
      <c r="AI75">
        <f t="shared" si="17"/>
        <v>1.0018515136201984</v>
      </c>
      <c r="AJ75">
        <f t="shared" si="17"/>
        <v>1.0018003068442409</v>
      </c>
    </row>
    <row r="76" spans="1:36" ht="11.25" customHeight="1" x14ac:dyDescent="0.2">
      <c r="A76" s="26" t="s">
        <v>87</v>
      </c>
      <c r="B76">
        <f t="shared" si="18"/>
        <v>1.0026015892579887</v>
      </c>
      <c r="C76">
        <f t="shared" si="17"/>
        <v>1.0023893730044333</v>
      </c>
      <c r="D76">
        <f t="shared" si="17"/>
        <v>1.0022320821905009</v>
      </c>
      <c r="E76">
        <f t="shared" si="17"/>
        <v>1.0024087649482492</v>
      </c>
      <c r="F76">
        <f t="shared" si="17"/>
        <v>1.0022696147049528</v>
      </c>
      <c r="G76">
        <f t="shared" si="17"/>
        <v>1.0022986931967663</v>
      </c>
      <c r="H76">
        <f t="shared" si="17"/>
        <v>1.0024218840493924</v>
      </c>
      <c r="I76">
        <f t="shared" si="17"/>
        <v>1.0026440066415083</v>
      </c>
      <c r="J76">
        <f t="shared" si="17"/>
        <v>1.0031236334011617</v>
      </c>
      <c r="K76">
        <f t="shared" si="17"/>
        <v>1.0032235923916182</v>
      </c>
      <c r="L76">
        <f t="shared" si="17"/>
        <v>1.0036908602841108</v>
      </c>
      <c r="M76">
        <f t="shared" si="17"/>
        <v>1.0040196135806649</v>
      </c>
      <c r="N76">
        <f t="shared" si="17"/>
        <v>1.0042597657765737</v>
      </c>
      <c r="O76">
        <f t="shared" si="17"/>
        <v>1.0040344296846464</v>
      </c>
      <c r="P76">
        <f t="shared" si="17"/>
        <v>1.0039090939024442</v>
      </c>
      <c r="Q76">
        <f t="shared" si="17"/>
        <v>1.0042835896529427</v>
      </c>
      <c r="R76">
        <f t="shared" si="17"/>
        <v>1.0042005880845097</v>
      </c>
      <c r="S76">
        <f t="shared" si="17"/>
        <v>1.0049052982225695</v>
      </c>
      <c r="T76">
        <f>+(1+T68)/(1+T$62)</f>
        <v>1.0051414150113982</v>
      </c>
      <c r="U76">
        <f t="shared" si="17"/>
        <v>1.0058202297799044</v>
      </c>
      <c r="V76">
        <f t="shared" si="17"/>
        <v>1.0050062848833445</v>
      </c>
      <c r="W76">
        <f t="shared" si="17"/>
        <v>1.004329660298904</v>
      </c>
      <c r="X76">
        <f t="shared" si="17"/>
        <v>1.0048291934741476</v>
      </c>
      <c r="Y76">
        <f t="shared" si="17"/>
        <v>1.0038246357045217</v>
      </c>
      <c r="Z76">
        <f t="shared" si="17"/>
        <v>1.0034346133657912</v>
      </c>
      <c r="AA76">
        <f t="shared" si="17"/>
        <v>1.0030885881493827</v>
      </c>
      <c r="AB76">
        <f t="shared" si="17"/>
        <v>1.0034819074930263</v>
      </c>
      <c r="AC76">
        <f t="shared" si="17"/>
        <v>1.0031770015418509</v>
      </c>
      <c r="AD76">
        <f t="shared" si="17"/>
        <v>1.0031151293522991</v>
      </c>
      <c r="AE76">
        <f t="shared" si="17"/>
        <v>1.0025585084307174</v>
      </c>
      <c r="AF76">
        <f t="shared" si="17"/>
        <v>1.0024414742685428</v>
      </c>
      <c r="AG76">
        <f t="shared" si="17"/>
        <v>1.0024393721205676</v>
      </c>
      <c r="AH76">
        <f t="shared" si="17"/>
        <v>1.0024846545970312</v>
      </c>
      <c r="AI76">
        <f t="shared" si="17"/>
        <v>1.0032625391762742</v>
      </c>
      <c r="AJ76">
        <f t="shared" si="17"/>
        <v>1.00256221805998</v>
      </c>
    </row>
    <row r="77" spans="1:36" ht="11.25" customHeight="1" x14ac:dyDescent="0.2">
      <c r="A77" s="26" t="s">
        <v>88</v>
      </c>
      <c r="B77">
        <f>+(1+B69)/(1+B$62)</f>
        <v>1.0001918866208441</v>
      </c>
      <c r="C77">
        <f t="shared" ref="C77:AJ77" si="19">+(1+C69)/(1+C$62)</f>
        <v>1.0002084698152209</v>
      </c>
      <c r="D77">
        <f t="shared" si="19"/>
        <v>1.00025812166355</v>
      </c>
      <c r="E77">
        <f t="shared" si="19"/>
        <v>1.0003077195243206</v>
      </c>
      <c r="F77">
        <f t="shared" si="19"/>
        <v>1.0002411533783897</v>
      </c>
      <c r="G77">
        <f t="shared" si="19"/>
        <v>1.0001578329184533</v>
      </c>
      <c r="H77">
        <f t="shared" si="19"/>
        <v>1.0001662483299247</v>
      </c>
      <c r="I77">
        <f t="shared" si="19"/>
        <v>1.0001332090330948</v>
      </c>
      <c r="J77">
        <f t="shared" si="19"/>
        <v>1.0001666639440976</v>
      </c>
      <c r="K77">
        <f t="shared" si="19"/>
        <v>1.0001747270526413</v>
      </c>
      <c r="L77">
        <f t="shared" si="19"/>
        <v>1.0001329433941242</v>
      </c>
      <c r="M77">
        <f t="shared" si="19"/>
        <v>1.0000831538664376</v>
      </c>
      <c r="N77">
        <f t="shared" si="19"/>
        <v>1.000008322133136</v>
      </c>
      <c r="O77">
        <f t="shared" si="19"/>
        <v>0.99996679340473393</v>
      </c>
      <c r="P77">
        <f t="shared" si="19"/>
        <v>0.99986758910140106</v>
      </c>
      <c r="Q77">
        <f t="shared" si="19"/>
        <v>0.99994216285881488</v>
      </c>
      <c r="R77">
        <f t="shared" si="19"/>
        <v>1.0000739490046584</v>
      </c>
      <c r="S77">
        <f t="shared" si="19"/>
        <v>1.0000655350973966</v>
      </c>
      <c r="T77">
        <f t="shared" si="19"/>
        <v>0.99968159457956418</v>
      </c>
      <c r="U77">
        <f t="shared" si="19"/>
        <v>0.99968873599207342</v>
      </c>
      <c r="V77">
        <f t="shared" si="19"/>
        <v>0.99980342039305137</v>
      </c>
      <c r="W77">
        <f t="shared" si="19"/>
        <v>0.99956854524691308</v>
      </c>
      <c r="X77">
        <f t="shared" si="19"/>
        <v>0.99940745783817631</v>
      </c>
      <c r="Y77">
        <f t="shared" si="19"/>
        <v>0.99936568043366802</v>
      </c>
      <c r="Z77">
        <f t="shared" si="19"/>
        <v>0.99928417601408281</v>
      </c>
      <c r="AA77">
        <f t="shared" si="19"/>
        <v>0.99931730249263873</v>
      </c>
      <c r="AB77">
        <f t="shared" si="19"/>
        <v>0.99943227220869246</v>
      </c>
      <c r="AC77">
        <f t="shared" si="19"/>
        <v>0.99939176180892142</v>
      </c>
      <c r="AD77">
        <f t="shared" si="19"/>
        <v>0.99942419210332467</v>
      </c>
      <c r="AE77">
        <f t="shared" si="19"/>
        <v>0.99937542547477876</v>
      </c>
      <c r="AF77">
        <f t="shared" si="19"/>
        <v>0.99952162872059258</v>
      </c>
      <c r="AG77">
        <f t="shared" si="19"/>
        <v>0.99949767727907857</v>
      </c>
      <c r="AH77">
        <f t="shared" si="19"/>
        <v>0.99961975736520847</v>
      </c>
      <c r="AI77">
        <f t="shared" si="19"/>
        <v>0.99960407965620657</v>
      </c>
      <c r="AJ77">
        <f t="shared" si="19"/>
        <v>0.99954834228987355</v>
      </c>
    </row>
    <row r="80" spans="1:36" ht="11.25" customHeight="1" x14ac:dyDescent="0.2">
      <c r="A80" s="26" t="s">
        <v>27</v>
      </c>
      <c r="B80">
        <f>B74</f>
        <v>1.0019663014145097</v>
      </c>
      <c r="C80">
        <f>C74*B80</f>
        <v>1.0039520587520594</v>
      </c>
      <c r="D80">
        <f t="shared" ref="D80:AI80" si="20">D74*C80</f>
        <v>1.0060130790065052</v>
      </c>
      <c r="E80">
        <f t="shared" si="20"/>
        <v>1.0082075055838924</v>
      </c>
      <c r="F80">
        <f t="shared" si="20"/>
        <v>1.0103728422048195</v>
      </c>
      <c r="G80">
        <f t="shared" si="20"/>
        <v>1.012621631368922</v>
      </c>
      <c r="H80">
        <f t="shared" si="20"/>
        <v>1.014860537517694</v>
      </c>
      <c r="I80">
        <f t="shared" si="20"/>
        <v>1.0172064709023796</v>
      </c>
      <c r="J80">
        <f t="shared" si="20"/>
        <v>1.0196595864666607</v>
      </c>
      <c r="K80">
        <f t="shared" si="20"/>
        <v>1.0222059092493394</v>
      </c>
      <c r="L80">
        <f t="shared" si="20"/>
        <v>1.0251095046288428</v>
      </c>
      <c r="M80">
        <f t="shared" si="20"/>
        <v>1.0283775415430019</v>
      </c>
      <c r="N80">
        <f t="shared" si="20"/>
        <v>1.0319625583485439</v>
      </c>
      <c r="O80">
        <f t="shared" si="20"/>
        <v>1.0355835529966166</v>
      </c>
      <c r="P80">
        <f t="shared" si="20"/>
        <v>1.0390226794757178</v>
      </c>
      <c r="Q80">
        <f t="shared" si="20"/>
        <v>1.0432438859262994</v>
      </c>
      <c r="R80">
        <f t="shared" si="20"/>
        <v>1.0476097444954484</v>
      </c>
      <c r="S80">
        <f t="shared" si="20"/>
        <v>1.05222651394605</v>
      </c>
      <c r="T80">
        <f t="shared" si="20"/>
        <v>1.0569939911753559</v>
      </c>
      <c r="U80">
        <f t="shared" si="20"/>
        <v>1.0625358659090196</v>
      </c>
      <c r="V80">
        <f t="shared" si="20"/>
        <v>1.0678963592181903</v>
      </c>
      <c r="W80">
        <f t="shared" si="20"/>
        <v>1.073474649929971</v>
      </c>
      <c r="X80">
        <f t="shared" si="20"/>
        <v>1.0795768773677374</v>
      </c>
      <c r="Y80">
        <f t="shared" si="20"/>
        <v>1.0846742296252623</v>
      </c>
      <c r="Z80">
        <f t="shared" si="20"/>
        <v>1.0896276427737857</v>
      </c>
      <c r="AA80">
        <f t="shared" si="20"/>
        <v>1.0938084214221613</v>
      </c>
      <c r="AB80">
        <f t="shared" si="20"/>
        <v>1.098270229071989</v>
      </c>
      <c r="AC80">
        <f t="shared" si="20"/>
        <v>1.1029863570068943</v>
      </c>
      <c r="AD80">
        <f t="shared" si="20"/>
        <v>1.1075789233950919</v>
      </c>
      <c r="AE80">
        <f t="shared" si="20"/>
        <v>1.1116928678184854</v>
      </c>
      <c r="AF80">
        <f t="shared" si="20"/>
        <v>1.1153565409313715</v>
      </c>
      <c r="AG80">
        <f t="shared" si="20"/>
        <v>1.11886386274649</v>
      </c>
      <c r="AH80">
        <f t="shared" si="20"/>
        <v>1.1225713378862485</v>
      </c>
      <c r="AI80">
        <f t="shared" si="20"/>
        <v>1.1258838888864025</v>
      </c>
      <c r="AJ80" s="34">
        <f>AJ74*AI80</f>
        <v>1.1294007785818534</v>
      </c>
    </row>
    <row r="81" spans="2:37" ht="11.25" customHeight="1" x14ac:dyDescent="0.2">
      <c r="P81">
        <f>1*P74</f>
        <v>1.0033209550973936</v>
      </c>
      <c r="Q81">
        <f>P81*Q74</f>
        <v>1.0073971172171636</v>
      </c>
      <c r="R81">
        <f t="shared" ref="R81:X81" si="21">Q81*R74</f>
        <v>1.011612961082698</v>
      </c>
      <c r="S81">
        <f t="shared" si="21"/>
        <v>1.0160710943132252</v>
      </c>
      <c r="T81">
        <f t="shared" si="21"/>
        <v>1.0206747568718959</v>
      </c>
      <c r="U81">
        <f t="shared" si="21"/>
        <v>1.0260262079620832</v>
      </c>
      <c r="V81">
        <f t="shared" si="21"/>
        <v>1.0312025100515276</v>
      </c>
      <c r="W81">
        <f t="shared" si="21"/>
        <v>1.036589125835101</v>
      </c>
      <c r="X81">
        <f t="shared" si="21"/>
        <v>1.0424816754223445</v>
      </c>
      <c r="Y81">
        <f>(X81*Y74)</f>
        <v>1.0474038782159045</v>
      </c>
      <c r="Z81">
        <f t="shared" ref="Z81:AJ81" si="22">(Y81*Z74)</f>
        <v>1.0521870877736363</v>
      </c>
      <c r="AA81">
        <f t="shared" si="22"/>
        <v>1.0562242112257016</v>
      </c>
      <c r="AB81">
        <f t="shared" si="22"/>
        <v>1.0605327072779196</v>
      </c>
      <c r="AC81">
        <f t="shared" si="22"/>
        <v>1.0650867849486767</v>
      </c>
      <c r="AD81">
        <f t="shared" si="22"/>
        <v>1.0695215467551078</v>
      </c>
      <c r="AE81">
        <f t="shared" si="22"/>
        <v>1.0734941324643819</v>
      </c>
      <c r="AF81">
        <f t="shared" si="22"/>
        <v>1.0770319185776169</v>
      </c>
      <c r="AG81">
        <f t="shared" si="22"/>
        <v>1.0804187257598763</v>
      </c>
      <c r="AH81">
        <f t="shared" si="22"/>
        <v>1.0839988088241839</v>
      </c>
      <c r="AI81">
        <f t="shared" si="22"/>
        <v>1.0871975376863492</v>
      </c>
      <c r="AJ81">
        <f t="shared" si="22"/>
        <v>1.0905935839882379</v>
      </c>
    </row>
    <row r="82" spans="2:37" ht="11.25" customHeight="1" x14ac:dyDescent="0.2">
      <c r="B82">
        <f>B71</f>
        <v>1.0003417767955747</v>
      </c>
      <c r="C82">
        <f>C71*B82</f>
        <v>1.0006502479919563</v>
      </c>
      <c r="D82">
        <f t="shared" ref="D82:AJ87" si="23">D71*C82</f>
        <v>1.00082529839344</v>
      </c>
      <c r="E82">
        <f t="shared" si="23"/>
        <v>1.000916967004789</v>
      </c>
      <c r="F82">
        <f t="shared" si="23"/>
        <v>1.0009669591131105</v>
      </c>
      <c r="G82">
        <f t="shared" si="23"/>
        <v>1.0008920280186047</v>
      </c>
      <c r="H82">
        <f t="shared" si="23"/>
        <v>1.0008753716081684</v>
      </c>
      <c r="I82">
        <f t="shared" si="23"/>
        <v>1.000975384147833</v>
      </c>
      <c r="J82">
        <f t="shared" si="23"/>
        <v>1.0011672082741963</v>
      </c>
      <c r="K82">
        <f t="shared" si="23"/>
        <v>1.0012422198705981</v>
      </c>
      <c r="L82">
        <f t="shared" si="23"/>
        <v>1.0012671925526362</v>
      </c>
      <c r="M82">
        <f t="shared" si="23"/>
        <v>1.0013338060344643</v>
      </c>
      <c r="N82">
        <f t="shared" si="23"/>
        <v>1.0015917822287062</v>
      </c>
      <c r="O82">
        <f t="shared" si="23"/>
        <v>1.0017329995304447</v>
      </c>
      <c r="P82">
        <f t="shared" si="23"/>
        <v>1.0016003591638207</v>
      </c>
      <c r="Q82">
        <f t="shared" si="23"/>
        <v>1.0017656698116728</v>
      </c>
      <c r="R82">
        <f t="shared" si="23"/>
        <v>1.0019630816026583</v>
      </c>
      <c r="S82">
        <f t="shared" si="23"/>
        <v>1.0019055869670837</v>
      </c>
      <c r="T82">
        <f t="shared" si="23"/>
        <v>1.0015127976218423</v>
      </c>
      <c r="U82">
        <f t="shared" si="23"/>
        <v>1.0014636472365275</v>
      </c>
      <c r="V82">
        <f t="shared" si="23"/>
        <v>1.0014636472365275</v>
      </c>
      <c r="W82">
        <f t="shared" si="23"/>
        <v>1.000843411687274</v>
      </c>
      <c r="X82">
        <f t="shared" si="23"/>
        <v>0.99990740670611733</v>
      </c>
      <c r="Y82">
        <f t="shared" si="23"/>
        <v>0.99910979916913556</v>
      </c>
      <c r="Z82">
        <f t="shared" si="23"/>
        <v>0.99829664893812187</v>
      </c>
      <c r="AA82">
        <f t="shared" si="23"/>
        <v>0.99742760714531598</v>
      </c>
      <c r="AB82">
        <f t="shared" si="23"/>
        <v>0.99715300477215618</v>
      </c>
      <c r="AC82">
        <f t="shared" si="23"/>
        <v>0.99804325321792853</v>
      </c>
      <c r="AD82">
        <f t="shared" si="23"/>
        <v>0.99880654346584397</v>
      </c>
      <c r="AE82">
        <f t="shared" si="23"/>
        <v>0.99956233702972586</v>
      </c>
      <c r="AF82">
        <f t="shared" si="23"/>
        <v>1.0003510538111675</v>
      </c>
      <c r="AG82">
        <f t="shared" si="23"/>
        <v>1.001067564185933</v>
      </c>
      <c r="AH82">
        <f t="shared" si="23"/>
        <v>1.0017198625447417</v>
      </c>
      <c r="AI82">
        <f t="shared" si="23"/>
        <v>1.0022593737422523</v>
      </c>
      <c r="AJ82">
        <f t="shared" si="23"/>
        <v>1.0026215102003775</v>
      </c>
    </row>
    <row r="83" spans="2:37" ht="11.25" customHeight="1" x14ac:dyDescent="0.2">
      <c r="B83">
        <f t="shared" ref="B83:B87" si="24">B72</f>
        <v>1.0012277283846081</v>
      </c>
      <c r="C83">
        <f t="shared" ref="C83:R87" si="25">C72*B83</f>
        <v>1.0024399801234753</v>
      </c>
      <c r="D83">
        <f t="shared" si="25"/>
        <v>1.0037264563714881</v>
      </c>
      <c r="E83">
        <f t="shared" si="25"/>
        <v>1.00525222094064</v>
      </c>
      <c r="F83">
        <f t="shared" si="25"/>
        <v>1.0067301437230629</v>
      </c>
      <c r="G83">
        <f t="shared" si="25"/>
        <v>1.0079853948139919</v>
      </c>
      <c r="H83">
        <f t="shared" si="25"/>
        <v>1.0092430833973531</v>
      </c>
      <c r="I83">
        <f t="shared" si="25"/>
        <v>1.0106615422141503</v>
      </c>
      <c r="J83">
        <f t="shared" si="25"/>
        <v>1.0121913883944498</v>
      </c>
      <c r="K83">
        <f t="shared" si="25"/>
        <v>1.013729563024202</v>
      </c>
      <c r="L83">
        <f t="shared" si="25"/>
        <v>1.0154994589900623</v>
      </c>
      <c r="M83">
        <f t="shared" si="25"/>
        <v>1.0175464053586554</v>
      </c>
      <c r="N83">
        <f t="shared" si="25"/>
        <v>1.0196314140096046</v>
      </c>
      <c r="O83">
        <f t="shared" si="25"/>
        <v>1.0219052724943747</v>
      </c>
      <c r="P83">
        <f t="shared" si="25"/>
        <v>1.0237957994132416</v>
      </c>
      <c r="Q83">
        <f t="shared" si="25"/>
        <v>1.0260019455994556</v>
      </c>
      <c r="R83">
        <f t="shared" si="25"/>
        <v>1.0281940470956905</v>
      </c>
      <c r="S83">
        <f t="shared" si="23"/>
        <v>1.0306226071838207</v>
      </c>
      <c r="T83">
        <f t="shared" si="23"/>
        <v>1.0330028054206795</v>
      </c>
      <c r="U83">
        <f t="shared" si="23"/>
        <v>1.0350829202072169</v>
      </c>
      <c r="V83">
        <f t="shared" si="23"/>
        <v>1.0369777232886566</v>
      </c>
      <c r="W83">
        <f t="shared" si="23"/>
        <v>1.0387381658566988</v>
      </c>
      <c r="X83">
        <f t="shared" si="23"/>
        <v>1.0408325979269291</v>
      </c>
      <c r="Y83">
        <f t="shared" si="23"/>
        <v>1.042736483091524</v>
      </c>
      <c r="Z83">
        <f t="shared" si="23"/>
        <v>1.0442950612802968</v>
      </c>
      <c r="AA83">
        <f t="shared" si="23"/>
        <v>1.0455967120133327</v>
      </c>
      <c r="AB83">
        <f t="shared" si="23"/>
        <v>1.0468897621484774</v>
      </c>
      <c r="AC83">
        <f t="shared" si="23"/>
        <v>1.0482090765145797</v>
      </c>
      <c r="AD83">
        <f t="shared" si="23"/>
        <v>1.0495303080449059</v>
      </c>
      <c r="AE83">
        <f t="shared" si="23"/>
        <v>1.0507191084456797</v>
      </c>
      <c r="AF83">
        <f t="shared" si="23"/>
        <v>1.051817361804569</v>
      </c>
      <c r="AG83">
        <f t="shared" si="23"/>
        <v>1.052671861466556</v>
      </c>
      <c r="AH83">
        <f t="shared" si="23"/>
        <v>1.0535516613999651</v>
      </c>
      <c r="AI83">
        <f t="shared" si="23"/>
        <v>1.0545067288715191</v>
      </c>
      <c r="AJ83" s="35">
        <f t="shared" si="23"/>
        <v>1.0554690413323997</v>
      </c>
    </row>
    <row r="84" spans="2:37" ht="11.25" customHeight="1" x14ac:dyDescent="0.2">
      <c r="B84">
        <f t="shared" si="24"/>
        <v>0.99979096716916394</v>
      </c>
      <c r="C84">
        <f t="shared" si="25"/>
        <v>0.9995736956671093</v>
      </c>
      <c r="D84">
        <f t="shared" si="23"/>
        <v>0.99939014520560154</v>
      </c>
      <c r="E84">
        <f t="shared" si="23"/>
        <v>0.99934017694605903</v>
      </c>
      <c r="F84">
        <f t="shared" si="23"/>
        <v>0.99927358312139436</v>
      </c>
      <c r="G84">
        <f t="shared" si="23"/>
        <v>0.99917383031862017</v>
      </c>
      <c r="H84">
        <f t="shared" si="23"/>
        <v>0.99913225506757108</v>
      </c>
      <c r="I84">
        <f t="shared" si="23"/>
        <v>0.999073965306982</v>
      </c>
      <c r="J84">
        <f t="shared" si="23"/>
        <v>0.99901561475366951</v>
      </c>
      <c r="K84">
        <f t="shared" si="23"/>
        <v>0.99895735510459904</v>
      </c>
      <c r="L84">
        <f t="shared" si="23"/>
        <v>0.99885762391368804</v>
      </c>
      <c r="M84">
        <f t="shared" si="23"/>
        <v>0.99872457148635052</v>
      </c>
      <c r="N84">
        <f t="shared" si="23"/>
        <v>0.99854985358988335</v>
      </c>
      <c r="O84">
        <f t="shared" si="23"/>
        <v>0.99830918000721813</v>
      </c>
      <c r="P84">
        <f t="shared" si="23"/>
        <v>0.9980528925382095</v>
      </c>
      <c r="Q84">
        <f t="shared" si="23"/>
        <v>0.99778870864489044</v>
      </c>
      <c r="R84">
        <f t="shared" si="23"/>
        <v>0.99750942053210323</v>
      </c>
      <c r="S84">
        <f t="shared" si="23"/>
        <v>0.99719005597129262</v>
      </c>
      <c r="T84">
        <f t="shared" si="23"/>
        <v>0.99685623262925682</v>
      </c>
      <c r="U84">
        <f t="shared" si="23"/>
        <v>0.99659501030334785</v>
      </c>
      <c r="V84">
        <f t="shared" si="23"/>
        <v>0.99621095428243789</v>
      </c>
      <c r="W84">
        <f t="shared" si="23"/>
        <v>0.99587863090411055</v>
      </c>
      <c r="X84">
        <f t="shared" si="23"/>
        <v>0.99555576500089493</v>
      </c>
      <c r="Y84">
        <f t="shared" si="23"/>
        <v>0.99519197591110875</v>
      </c>
      <c r="Z84">
        <f t="shared" si="23"/>
        <v>0.99473929146040552</v>
      </c>
      <c r="AA84">
        <f t="shared" si="23"/>
        <v>0.99434376652923129</v>
      </c>
      <c r="AB84">
        <f t="shared" si="23"/>
        <v>0.99392474851192081</v>
      </c>
      <c r="AC84">
        <f t="shared" si="23"/>
        <v>0.99348181302408212</v>
      </c>
      <c r="AD84">
        <f t="shared" si="23"/>
        <v>0.99309546902107115</v>
      </c>
      <c r="AE84">
        <f t="shared" si="23"/>
        <v>0.992652860060243</v>
      </c>
      <c r="AF84">
        <f t="shared" si="23"/>
        <v>0.99226672579968478</v>
      </c>
      <c r="AG84">
        <f t="shared" si="23"/>
        <v>0.99191327954578357</v>
      </c>
      <c r="AH84">
        <f t="shared" si="23"/>
        <v>0.99155219370303394</v>
      </c>
      <c r="AI84">
        <f t="shared" si="23"/>
        <v>0.99112749539343281</v>
      </c>
      <c r="AJ84" s="35">
        <f t="shared" si="23"/>
        <v>0.99070388276944765</v>
      </c>
    </row>
    <row r="85" spans="2:37" ht="11.25" customHeight="1" x14ac:dyDescent="0.2">
      <c r="B85">
        <f t="shared" si="24"/>
        <v>1.0019663014145097</v>
      </c>
      <c r="C85">
        <f t="shared" si="25"/>
        <v>1.0039520587520594</v>
      </c>
      <c r="D85">
        <f t="shared" si="23"/>
        <v>1.0060130790065052</v>
      </c>
      <c r="E85">
        <f t="shared" si="23"/>
        <v>1.0082075055838924</v>
      </c>
      <c r="F85">
        <f t="shared" si="23"/>
        <v>1.0103728422048195</v>
      </c>
      <c r="G85">
        <f t="shared" si="23"/>
        <v>1.012621631368922</v>
      </c>
      <c r="H85">
        <f t="shared" si="23"/>
        <v>1.014860537517694</v>
      </c>
      <c r="I85">
        <f t="shared" si="23"/>
        <v>1.0172064709023796</v>
      </c>
      <c r="J85">
        <f t="shared" si="23"/>
        <v>1.0196595864666607</v>
      </c>
      <c r="K85">
        <f t="shared" si="23"/>
        <v>1.0222059092493394</v>
      </c>
      <c r="L85">
        <f t="shared" si="23"/>
        <v>1.0251095046288428</v>
      </c>
      <c r="M85">
        <f t="shared" si="23"/>
        <v>1.0283775415430019</v>
      </c>
      <c r="N85">
        <f t="shared" si="23"/>
        <v>1.0319625583485439</v>
      </c>
      <c r="O85">
        <f t="shared" si="23"/>
        <v>1.0355835529966166</v>
      </c>
      <c r="P85">
        <f t="shared" si="23"/>
        <v>1.0390226794757178</v>
      </c>
      <c r="Q85">
        <f t="shared" si="23"/>
        <v>1.0432438859262994</v>
      </c>
      <c r="R85">
        <f t="shared" si="23"/>
        <v>1.0476097444954484</v>
      </c>
      <c r="S85">
        <f t="shared" si="23"/>
        <v>1.05222651394605</v>
      </c>
      <c r="T85">
        <f t="shared" si="23"/>
        <v>1.0569939911753559</v>
      </c>
      <c r="U85">
        <f t="shared" si="23"/>
        <v>1.0625358659090196</v>
      </c>
      <c r="V85">
        <f t="shared" si="23"/>
        <v>1.0678963592181903</v>
      </c>
      <c r="W85">
        <f t="shared" si="23"/>
        <v>1.073474649929971</v>
      </c>
      <c r="X85">
        <f t="shared" si="23"/>
        <v>1.0795768773677374</v>
      </c>
      <c r="Y85">
        <f t="shared" si="23"/>
        <v>1.0846742296252623</v>
      </c>
      <c r="Z85">
        <f t="shared" si="23"/>
        <v>1.0896276427737857</v>
      </c>
      <c r="AA85">
        <f t="shared" si="23"/>
        <v>1.0938084214221613</v>
      </c>
      <c r="AB85">
        <f t="shared" si="23"/>
        <v>1.098270229071989</v>
      </c>
      <c r="AC85">
        <f t="shared" si="23"/>
        <v>1.1029863570068943</v>
      </c>
      <c r="AD85">
        <f t="shared" si="23"/>
        <v>1.1075789233950919</v>
      </c>
      <c r="AE85">
        <f t="shared" si="23"/>
        <v>1.1116928678184854</v>
      </c>
      <c r="AF85">
        <f t="shared" si="23"/>
        <v>1.1153565409313715</v>
      </c>
      <c r="AG85">
        <f t="shared" si="23"/>
        <v>1.11886386274649</v>
      </c>
      <c r="AH85">
        <f t="shared" si="23"/>
        <v>1.1225713378862485</v>
      </c>
      <c r="AI85">
        <f t="shared" si="23"/>
        <v>1.1258838888864025</v>
      </c>
      <c r="AJ85" s="35">
        <f t="shared" si="23"/>
        <v>1.1294007785818534</v>
      </c>
    </row>
    <row r="86" spans="2:37" ht="11.25" customHeight="1" x14ac:dyDescent="0.2">
      <c r="B86">
        <f t="shared" si="24"/>
        <v>1.0012524442595423</v>
      </c>
      <c r="C86">
        <f t="shared" si="25"/>
        <v>1.0023904610206547</v>
      </c>
      <c r="D86">
        <f t="shared" si="23"/>
        <v>1.0035284117504653</v>
      </c>
      <c r="E86">
        <f t="shared" si="23"/>
        <v>1.004773908835316</v>
      </c>
      <c r="F86">
        <f t="shared" si="23"/>
        <v>1.0059955702705665</v>
      </c>
      <c r="G86">
        <f t="shared" si="23"/>
        <v>1.0073158832432709</v>
      </c>
      <c r="H86">
        <f t="shared" si="23"/>
        <v>1.0086636253032892</v>
      </c>
      <c r="I86">
        <f t="shared" si="23"/>
        <v>1.0099901994127838</v>
      </c>
      <c r="J86">
        <f t="shared" si="23"/>
        <v>1.0114029638688202</v>
      </c>
      <c r="K86">
        <f t="shared" si="23"/>
        <v>1.0129150856934708</v>
      </c>
      <c r="L86">
        <f t="shared" si="23"/>
        <v>1.0149228573656688</v>
      </c>
      <c r="M86">
        <f t="shared" si="23"/>
        <v>1.0173806406941841</v>
      </c>
      <c r="N86">
        <f t="shared" si="23"/>
        <v>1.0200676891893001</v>
      </c>
      <c r="O86">
        <f t="shared" si="23"/>
        <v>1.0230667267360267</v>
      </c>
      <c r="P86">
        <f t="shared" si="23"/>
        <v>1.0257189912212494</v>
      </c>
      <c r="Q86">
        <f t="shared" si="23"/>
        <v>1.0289987611063636</v>
      </c>
      <c r="R86">
        <f t="shared" si="23"/>
        <v>1.0327946758635524</v>
      </c>
      <c r="S86">
        <f t="shared" si="23"/>
        <v>1.0368934900958366</v>
      </c>
      <c r="T86">
        <f t="shared" si="23"/>
        <v>1.0409379488663719</v>
      </c>
      <c r="U86">
        <f t="shared" si="23"/>
        <v>1.0446601737062442</v>
      </c>
      <c r="V86">
        <f t="shared" si="23"/>
        <v>1.047977819735681</v>
      </c>
      <c r="W86">
        <f t="shared" si="23"/>
        <v>1.0510512970485002</v>
      </c>
      <c r="X86">
        <f t="shared" si="23"/>
        <v>1.0550646876624148</v>
      </c>
      <c r="Y86">
        <f t="shared" si="23"/>
        <v>1.0587631934072503</v>
      </c>
      <c r="Z86">
        <f t="shared" si="23"/>
        <v>1.0619359070986396</v>
      </c>
      <c r="AA86">
        <f t="shared" si="23"/>
        <v>1.06456530396285</v>
      </c>
      <c r="AB86">
        <f t="shared" si="23"/>
        <v>1.0672058029611431</v>
      </c>
      <c r="AC86">
        <f t="shared" si="23"/>
        <v>1.0697933146318521</v>
      </c>
      <c r="AD86">
        <f t="shared" si="23"/>
        <v>1.0723454814827142</v>
      </c>
      <c r="AE86">
        <f t="shared" si="23"/>
        <v>1.0747767479531332</v>
      </c>
      <c r="AF86">
        <f t="shared" si="23"/>
        <v>1.077231414332356</v>
      </c>
      <c r="AG86">
        <f t="shared" si="23"/>
        <v>1.0792983341876119</v>
      </c>
      <c r="AH86">
        <f t="shared" si="23"/>
        <v>1.081342032624879</v>
      </c>
      <c r="AI86">
        <f t="shared" si="23"/>
        <v>1.0833441521263771</v>
      </c>
      <c r="AJ86" s="35">
        <f t="shared" si="23"/>
        <v>1.0852945040181186</v>
      </c>
    </row>
    <row r="87" spans="2:37" ht="11.25" customHeight="1" x14ac:dyDescent="0.2">
      <c r="B87">
        <f t="shared" si="24"/>
        <v>1.0026015892579887</v>
      </c>
      <c r="C87">
        <f t="shared" si="25"/>
        <v>1.0049971784295637</v>
      </c>
      <c r="D87">
        <f t="shared" si="23"/>
        <v>1.00724041473304</v>
      </c>
      <c r="E87">
        <f t="shared" si="23"/>
        <v>1.0096666201385089</v>
      </c>
      <c r="F87">
        <f t="shared" si="23"/>
        <v>1.0119581743466752</v>
      </c>
      <c r="G87">
        <f t="shared" si="23"/>
        <v>1.0142843557174581</v>
      </c>
      <c r="H87">
        <f t="shared" si="23"/>
        <v>1.0167408348201183</v>
      </c>
      <c r="I87">
        <f t="shared" si="23"/>
        <v>1.0194291043400754</v>
      </c>
      <c r="J87">
        <f t="shared" si="23"/>
        <v>1.0226134271405085</v>
      </c>
      <c r="K87">
        <f t="shared" si="23"/>
        <v>1.0259099160038052</v>
      </c>
      <c r="L87">
        <f t="shared" si="23"/>
        <v>1.0296964061678591</v>
      </c>
      <c r="M87">
        <f t="shared" si="23"/>
        <v>1.0338353878260533</v>
      </c>
      <c r="N87">
        <f t="shared" si="23"/>
        <v>1.0382392844297257</v>
      </c>
      <c r="O87">
        <f t="shared" si="23"/>
        <v>1.0424279878185949</v>
      </c>
      <c r="P87">
        <f t="shared" si="23"/>
        <v>1.0465029367095138</v>
      </c>
      <c r="Q87">
        <f t="shared" si="23"/>
        <v>1.0509857258609769</v>
      </c>
      <c r="R87">
        <f t="shared" si="23"/>
        <v>1.0554004839780184</v>
      </c>
      <c r="S87">
        <f t="shared" si="23"/>
        <v>1.0605775380961748</v>
      </c>
      <c r="T87">
        <f t="shared" si="23"/>
        <v>1.0660304073712943</v>
      </c>
      <c r="U87">
        <f t="shared" si="23"/>
        <v>1.0722349492945602</v>
      </c>
      <c r="V87">
        <f t="shared" si="23"/>
        <v>1.0776028629126073</v>
      </c>
      <c r="W87">
        <f t="shared" si="23"/>
        <v>1.0822685172461453</v>
      </c>
      <c r="X87">
        <f t="shared" si="23"/>
        <v>1.0874950013069058</v>
      </c>
      <c r="Y87">
        <f t="shared" si="23"/>
        <v>1.0916542735173931</v>
      </c>
      <c r="Z87">
        <f t="shared" si="23"/>
        <v>1.095403683876039</v>
      </c>
      <c r="AA87">
        <f t="shared" si="23"/>
        <v>1.0987869347128487</v>
      </c>
      <c r="AB87">
        <f t="shared" si="23"/>
        <v>1.1026128091740648</v>
      </c>
      <c r="AC87">
        <f t="shared" si="23"/>
        <v>1.1061158117688752</v>
      </c>
      <c r="AD87">
        <f t="shared" si="23"/>
        <v>1.1095615056011585</v>
      </c>
      <c r="AE87">
        <f t="shared" si="23"/>
        <v>1.1124003280676384</v>
      </c>
      <c r="AF87">
        <f t="shared" si="23"/>
        <v>1.1151162248449342</v>
      </c>
      <c r="AG87">
        <f t="shared" si="23"/>
        <v>1.1178364082750134</v>
      </c>
      <c r="AH87">
        <f t="shared" si="23"/>
        <v>1.1206138456455628</v>
      </c>
      <c r="AI87">
        <f t="shared" si="23"/>
        <v>1.1242698922184566</v>
      </c>
      <c r="AJ87" s="35">
        <f t="shared" si="23"/>
        <v>1.1271505168405906</v>
      </c>
    </row>
    <row r="88" spans="2:37" ht="11.25" customHeight="1" x14ac:dyDescent="0.2">
      <c r="B88">
        <f>B77</f>
        <v>1.0001918866208441</v>
      </c>
      <c r="C88">
        <f>C77*B88</f>
        <v>1.0004003964386334</v>
      </c>
      <c r="D88">
        <f t="shared" ref="D88:AJ88" si="26">D77*C88</f>
        <v>1.0006586214531783</v>
      </c>
      <c r="E88">
        <f t="shared" si="26"/>
        <v>1.0009665436481792</v>
      </c>
      <c r="F88">
        <f t="shared" si="26"/>
        <v>1.0012079301118351</v>
      </c>
      <c r="G88">
        <f t="shared" si="26"/>
        <v>1.0013659536814232</v>
      </c>
      <c r="H88">
        <f t="shared" si="26"/>
        <v>1.0015324290988663</v>
      </c>
      <c r="I88">
        <f t="shared" si="26"/>
        <v>1.0016658422653597</v>
      </c>
      <c r="J88">
        <f t="shared" si="26"/>
        <v>1.0018327838452994</v>
      </c>
      <c r="K88">
        <f t="shared" si="26"/>
        <v>1.0020078311348601</v>
      </c>
      <c r="L88">
        <f t="shared" si="26"/>
        <v>1.0021410414568701</v>
      </c>
      <c r="M88">
        <f t="shared" si="26"/>
        <v>1.0022243733591831</v>
      </c>
      <c r="N88">
        <f t="shared" si="26"/>
        <v>1.0022327140038503</v>
      </c>
      <c r="O88">
        <f t="shared" si="26"/>
        <v>1.002199433267754</v>
      </c>
      <c r="P88">
        <f t="shared" si="26"/>
        <v>1.0020667311402196</v>
      </c>
      <c r="Q88">
        <f t="shared" si="26"/>
        <v>1.0020087744652137</v>
      </c>
      <c r="R88">
        <f t="shared" si="26"/>
        <v>1.0020828720167445</v>
      </c>
      <c r="S88">
        <f t="shared" si="26"/>
        <v>1.0021485436153617</v>
      </c>
      <c r="T88">
        <f t="shared" si="26"/>
        <v>1.0018294540869928</v>
      </c>
      <c r="U88">
        <f t="shared" si="26"/>
        <v>1.0015176206358547</v>
      </c>
      <c r="V88">
        <f t="shared" si="26"/>
        <v>1.0013207426956379</v>
      </c>
      <c r="W88">
        <f t="shared" si="26"/>
        <v>1.0008887181018373</v>
      </c>
      <c r="X88">
        <f t="shared" si="26"/>
        <v>1.0002956493370683</v>
      </c>
      <c r="Y88">
        <f t="shared" si="26"/>
        <v>0.99966114223457703</v>
      </c>
      <c r="Z88">
        <f t="shared" si="26"/>
        <v>0.99894556081117614</v>
      </c>
      <c r="AA88">
        <f t="shared" si="26"/>
        <v>0.99826358316682073</v>
      </c>
      <c r="AB88">
        <f t="shared" si="26"/>
        <v>0.99769684118760671</v>
      </c>
      <c r="AC88">
        <f t="shared" si="26"/>
        <v>0.99709000386567792</v>
      </c>
      <c r="AD88">
        <f t="shared" si="26"/>
        <v>0.99651587156775601</v>
      </c>
      <c r="AE88">
        <f t="shared" si="26"/>
        <v>0.99589347314039611</v>
      </c>
      <c r="AF88">
        <f t="shared" si="26"/>
        <v>0.99541706630549642</v>
      </c>
      <c r="AG88">
        <f t="shared" si="26"/>
        <v>0.99491704569629824</v>
      </c>
      <c r="AH88">
        <f t="shared" si="26"/>
        <v>0.99453873581744368</v>
      </c>
      <c r="AI88">
        <f t="shared" si="26"/>
        <v>0.99414497769924293</v>
      </c>
      <c r="AJ88" s="35">
        <f t="shared" si="26"/>
        <v>0.99369596445508157</v>
      </c>
    </row>
    <row r="91" spans="2:37" ht="11.25" customHeight="1" x14ac:dyDescent="0.2">
      <c r="B91">
        <v>1</v>
      </c>
      <c r="C91">
        <f>B85</f>
        <v>1.0019663014145097</v>
      </c>
      <c r="D91">
        <f t="shared" ref="D91:AK91" si="27">C85</f>
        <v>1.0039520587520594</v>
      </c>
      <c r="E91">
        <f t="shared" si="27"/>
        <v>1.0060130790065052</v>
      </c>
      <c r="F91">
        <f t="shared" si="27"/>
        <v>1.0082075055838924</v>
      </c>
      <c r="G91">
        <f t="shared" si="27"/>
        <v>1.0103728422048195</v>
      </c>
      <c r="H91">
        <f t="shared" si="27"/>
        <v>1.012621631368922</v>
      </c>
      <c r="I91">
        <f t="shared" si="27"/>
        <v>1.014860537517694</v>
      </c>
      <c r="J91">
        <f t="shared" si="27"/>
        <v>1.0172064709023796</v>
      </c>
      <c r="K91">
        <f t="shared" si="27"/>
        <v>1.0196595864666607</v>
      </c>
      <c r="L91">
        <f t="shared" si="27"/>
        <v>1.0222059092493394</v>
      </c>
      <c r="M91">
        <f t="shared" si="27"/>
        <v>1.0251095046288428</v>
      </c>
      <c r="N91">
        <f t="shared" si="27"/>
        <v>1.0283775415430019</v>
      </c>
      <c r="O91">
        <f t="shared" si="27"/>
        <v>1.0319625583485439</v>
      </c>
      <c r="P91">
        <f t="shared" si="27"/>
        <v>1.0355835529966166</v>
      </c>
      <c r="Q91">
        <f t="shared" si="27"/>
        <v>1.0390226794757178</v>
      </c>
      <c r="R91">
        <f t="shared" si="27"/>
        <v>1.0432438859262994</v>
      </c>
      <c r="S91">
        <f t="shared" si="27"/>
        <v>1.0476097444954484</v>
      </c>
      <c r="T91">
        <f t="shared" si="27"/>
        <v>1.05222651394605</v>
      </c>
      <c r="U91">
        <f t="shared" si="27"/>
        <v>1.0569939911753559</v>
      </c>
      <c r="V91">
        <f t="shared" si="27"/>
        <v>1.0625358659090196</v>
      </c>
      <c r="W91">
        <f t="shared" si="27"/>
        <v>1.0678963592181903</v>
      </c>
      <c r="X91">
        <f t="shared" si="27"/>
        <v>1.073474649929971</v>
      </c>
      <c r="Y91">
        <f t="shared" si="27"/>
        <v>1.0795768773677374</v>
      </c>
      <c r="Z91">
        <f t="shared" si="27"/>
        <v>1.0846742296252623</v>
      </c>
      <c r="AA91">
        <f t="shared" si="27"/>
        <v>1.0896276427737857</v>
      </c>
      <c r="AB91">
        <f t="shared" si="27"/>
        <v>1.0938084214221613</v>
      </c>
      <c r="AC91">
        <f t="shared" si="27"/>
        <v>1.098270229071989</v>
      </c>
      <c r="AD91">
        <f t="shared" si="27"/>
        <v>1.1029863570068943</v>
      </c>
      <c r="AE91">
        <f t="shared" si="27"/>
        <v>1.1075789233950919</v>
      </c>
      <c r="AF91">
        <f t="shared" si="27"/>
        <v>1.1116928678184854</v>
      </c>
      <c r="AG91">
        <f t="shared" si="27"/>
        <v>1.1153565409313715</v>
      </c>
      <c r="AH91">
        <f t="shared" si="27"/>
        <v>1.11886386274649</v>
      </c>
      <c r="AI91">
        <f t="shared" si="27"/>
        <v>1.1225713378862485</v>
      </c>
      <c r="AJ91">
        <f t="shared" si="27"/>
        <v>1.1258838888864025</v>
      </c>
      <c r="AK91">
        <f t="shared" si="27"/>
        <v>1.1294007785818534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4519C-2F54-9440-A477-0CFD52FCD47D}">
  <dimension ref="D2:AP48"/>
  <sheetViews>
    <sheetView tabSelected="1" topLeftCell="T4" zoomScale="160" zoomScaleNormal="160" workbookViewId="0">
      <selection activeCell="AJ4" sqref="AJ4:AP39"/>
    </sheetView>
  </sheetViews>
  <sheetFormatPr baseColWidth="10" defaultRowHeight="15" x14ac:dyDescent="0.2"/>
  <sheetData>
    <row r="2" spans="4:42" ht="16" thickBot="1" x14ac:dyDescent="0.25">
      <c r="AD2" t="s">
        <v>96</v>
      </c>
    </row>
    <row r="3" spans="4:42" x14ac:dyDescent="0.2">
      <c r="H3" s="33" t="s">
        <v>89</v>
      </c>
      <c r="I3" s="33" t="s">
        <v>91</v>
      </c>
      <c r="J3" s="36" t="s">
        <v>92</v>
      </c>
      <c r="K3" s="36" t="s">
        <v>93</v>
      </c>
      <c r="L3" s="36" t="s">
        <v>94</v>
      </c>
      <c r="M3" s="33" t="s">
        <v>90</v>
      </c>
      <c r="N3" s="36" t="s">
        <v>95</v>
      </c>
      <c r="O3" s="36" t="str">
        <f>H3</f>
        <v>RON</v>
      </c>
      <c r="P3" s="36" t="str">
        <f t="shared" ref="P3:U3" si="0">I3</f>
        <v>BGN</v>
      </c>
      <c r="Q3" s="36" t="str">
        <f t="shared" si="0"/>
        <v>CZK</v>
      </c>
      <c r="R3" s="36" t="str">
        <f t="shared" si="0"/>
        <v>PLN</v>
      </c>
      <c r="S3" s="36" t="str">
        <f t="shared" si="0"/>
        <v>DKK</v>
      </c>
      <c r="T3" s="36" t="str">
        <f t="shared" si="0"/>
        <v>HUF</v>
      </c>
      <c r="U3" s="36" t="str">
        <f t="shared" si="0"/>
        <v>SEK</v>
      </c>
      <c r="V3" s="38" t="str">
        <f>O3</f>
        <v>RON</v>
      </c>
      <c r="W3" s="39" t="str">
        <f t="shared" ref="W3:AB3" si="1">P3</f>
        <v>BGN</v>
      </c>
      <c r="X3" s="39" t="str">
        <f t="shared" si="1"/>
        <v>CZK</v>
      </c>
      <c r="Y3" s="39" t="str">
        <f t="shared" si="1"/>
        <v>PLN</v>
      </c>
      <c r="Z3" s="39" t="str">
        <f t="shared" si="1"/>
        <v>DKK</v>
      </c>
      <c r="AA3" s="39" t="str">
        <f t="shared" si="1"/>
        <v>HUF</v>
      </c>
      <c r="AB3" s="40" t="str">
        <f t="shared" si="1"/>
        <v>SEK</v>
      </c>
      <c r="AJ3" s="50"/>
      <c r="AK3" s="51"/>
      <c r="AL3" s="51"/>
      <c r="AM3" s="51"/>
      <c r="AN3" s="51"/>
      <c r="AO3" s="51"/>
      <c r="AP3" s="52"/>
    </row>
    <row r="4" spans="4:42" x14ac:dyDescent="0.2">
      <c r="D4" s="31">
        <v>44166</v>
      </c>
      <c r="G4">
        <v>1</v>
      </c>
      <c r="H4" s="30">
        <v>4.8659999999999997</v>
      </c>
      <c r="I4" s="30">
        <v>1.9482999999999999</v>
      </c>
      <c r="J4" s="30">
        <v>26.213498999999999</v>
      </c>
      <c r="K4" s="30">
        <v>4.5789099999999996</v>
      </c>
      <c r="L4" s="30">
        <v>7.4405000000000001</v>
      </c>
      <c r="M4" s="30">
        <v>364.17898600000001</v>
      </c>
      <c r="N4" s="30">
        <v>10.079000000000001</v>
      </c>
      <c r="O4" s="36">
        <v>1</v>
      </c>
      <c r="P4" s="36">
        <v>1</v>
      </c>
      <c r="Q4" s="36">
        <v>1</v>
      </c>
      <c r="R4" s="36">
        <v>1</v>
      </c>
      <c r="S4" s="36">
        <v>1</v>
      </c>
      <c r="T4" s="36">
        <v>1</v>
      </c>
      <c r="U4" s="36">
        <v>1</v>
      </c>
      <c r="V4" s="41">
        <v>1</v>
      </c>
      <c r="W4" s="42">
        <v>1</v>
      </c>
      <c r="X4" s="42">
        <v>1</v>
      </c>
      <c r="Y4" s="42">
        <v>1</v>
      </c>
      <c r="Z4" s="42">
        <v>1</v>
      </c>
      <c r="AA4" s="42">
        <v>1</v>
      </c>
      <c r="AB4" s="43">
        <v>1</v>
      </c>
      <c r="AC4" s="26" t="s">
        <v>82</v>
      </c>
      <c r="AD4" s="26" t="s">
        <v>83</v>
      </c>
      <c r="AE4" s="26" t="s">
        <v>84</v>
      </c>
      <c r="AF4" s="26" t="s">
        <v>85</v>
      </c>
      <c r="AG4" s="26" t="s">
        <v>86</v>
      </c>
      <c r="AH4" s="26" t="s">
        <v>87</v>
      </c>
      <c r="AI4" s="26" t="s">
        <v>88</v>
      </c>
      <c r="AJ4" s="53" t="s">
        <v>97</v>
      </c>
      <c r="AK4" s="26" t="s">
        <v>98</v>
      </c>
      <c r="AL4" s="26" t="s">
        <v>99</v>
      </c>
      <c r="AM4" s="26" t="s">
        <v>85</v>
      </c>
      <c r="AN4" s="26" t="s">
        <v>100</v>
      </c>
      <c r="AO4" s="26" t="s">
        <v>101</v>
      </c>
      <c r="AP4" s="55" t="s">
        <v>102</v>
      </c>
    </row>
    <row r="5" spans="4:42" x14ac:dyDescent="0.2">
      <c r="D5" s="31">
        <v>44197</v>
      </c>
      <c r="F5">
        <f>M5/M4</f>
        <v>0.98133066085257314</v>
      </c>
      <c r="G5">
        <f>F5*G4</f>
        <v>0.98133066085257314</v>
      </c>
      <c r="H5" s="30">
        <v>4.8710000000000004</v>
      </c>
      <c r="I5" s="30">
        <v>1.9483999999999999</v>
      </c>
      <c r="J5" s="30">
        <v>26.023001000000001</v>
      </c>
      <c r="K5" s="30">
        <v>4.5208000000000004</v>
      </c>
      <c r="L5" s="30">
        <v>7.4378000000000002</v>
      </c>
      <c r="M5" s="30">
        <v>357.38000499999998</v>
      </c>
      <c r="N5" s="30">
        <v>9.9786199999999994</v>
      </c>
      <c r="O5" s="30">
        <f>H5/H4</f>
        <v>1.0010275380189069</v>
      </c>
      <c r="P5" s="30">
        <f t="shared" ref="P5:U20" si="2">I5/I4</f>
        <v>1.0000513267977211</v>
      </c>
      <c r="Q5" s="30">
        <f t="shared" si="2"/>
        <v>0.99273282822716657</v>
      </c>
      <c r="R5" s="30">
        <f t="shared" si="2"/>
        <v>0.98730920677628531</v>
      </c>
      <c r="S5" s="30">
        <f t="shared" si="2"/>
        <v>0.99963712116121228</v>
      </c>
      <c r="T5" s="30">
        <f>M5/M4</f>
        <v>0.98133066085257314</v>
      </c>
      <c r="U5" s="30">
        <f t="shared" si="2"/>
        <v>0.99004067863875367</v>
      </c>
      <c r="V5" s="44">
        <f>V4*O5</f>
        <v>1.0010275380189069</v>
      </c>
      <c r="W5" s="45">
        <f t="shared" ref="W5:AB20" si="3">W4*P5</f>
        <v>1.0000513267977211</v>
      </c>
      <c r="X5" s="45">
        <f t="shared" si="3"/>
        <v>0.99273282822716657</v>
      </c>
      <c r="Y5" s="45">
        <f t="shared" si="3"/>
        <v>0.98730920677628531</v>
      </c>
      <c r="Z5" s="45">
        <f t="shared" si="3"/>
        <v>0.99963712116121228</v>
      </c>
      <c r="AA5" s="45">
        <f t="shared" si="3"/>
        <v>0.98133066085257314</v>
      </c>
      <c r="AB5" s="46">
        <f t="shared" si="3"/>
        <v>0.99004067863875367</v>
      </c>
      <c r="AC5">
        <v>1.0003417767955747</v>
      </c>
      <c r="AD5">
        <v>1.0012277283846081</v>
      </c>
      <c r="AE5">
        <v>0.99979096716916394</v>
      </c>
      <c r="AF5">
        <v>1.0019663014145097</v>
      </c>
      <c r="AG5">
        <v>1.0012524442595423</v>
      </c>
      <c r="AH5">
        <v>1.0026015892579887</v>
      </c>
      <c r="AI5">
        <v>1.0001918866208441</v>
      </c>
      <c r="AJ5" s="56">
        <f>-W5+AC5</f>
        <v>2.9044999785354797E-4</v>
      </c>
      <c r="AK5" s="56">
        <f t="shared" ref="AK5:AM20" si="4">-X5+AD5</f>
        <v>8.4949001574414762E-3</v>
      </c>
      <c r="AL5" s="56">
        <f t="shared" si="4"/>
        <v>1.2481760392878627E-2</v>
      </c>
      <c r="AM5" s="56">
        <f>-AA5+AF5</f>
        <v>2.0635640561936563E-2</v>
      </c>
      <c r="AN5" s="54">
        <f>AG5-Y5</f>
        <v>1.3943237483256987E-2</v>
      </c>
      <c r="AO5" s="54">
        <f>AH5-V5</f>
        <v>1.5740512390818306E-3</v>
      </c>
      <c r="AP5" s="55">
        <f>AI5-AB5</f>
        <v>1.015120798209046E-2</v>
      </c>
    </row>
    <row r="6" spans="4:42" x14ac:dyDescent="0.2">
      <c r="D6" s="31">
        <v>44228</v>
      </c>
      <c r="F6">
        <f>M6/M5</f>
        <v>1.0135933794057672</v>
      </c>
      <c r="G6">
        <f t="shared" ref="G6:G40" si="5">F6*G5</f>
        <v>0.99467026084805443</v>
      </c>
      <c r="H6" s="30">
        <v>4.8723000000000001</v>
      </c>
      <c r="I6" s="30">
        <v>1.9484999999999999</v>
      </c>
      <c r="J6" s="30">
        <v>26.147698999999999</v>
      </c>
      <c r="K6" s="30">
        <v>4.5176400000000001</v>
      </c>
      <c r="L6" s="30">
        <v>7.4362000000000004</v>
      </c>
      <c r="M6" s="30">
        <v>362.23800699999998</v>
      </c>
      <c r="N6" s="30">
        <v>10.16601</v>
      </c>
      <c r="O6" s="30">
        <f t="shared" ref="O6:O40" si="6">H6/H5</f>
        <v>1.0002668856497638</v>
      </c>
      <c r="P6" s="30">
        <f t="shared" si="2"/>
        <v>1.0000513241634161</v>
      </c>
      <c r="Q6" s="30">
        <f t="shared" si="2"/>
        <v>1.0047918378053322</v>
      </c>
      <c r="R6" s="30">
        <f t="shared" si="2"/>
        <v>0.99930100867103167</v>
      </c>
      <c r="S6" s="30">
        <f t="shared" si="2"/>
        <v>0.99978488262658316</v>
      </c>
      <c r="T6" s="30">
        <f t="shared" si="2"/>
        <v>1.0135933794057672</v>
      </c>
      <c r="U6" s="30">
        <f t="shared" si="2"/>
        <v>1.0187791498223202</v>
      </c>
      <c r="V6" s="44">
        <f t="shared" ref="V6:V40" si="7">V5*O6</f>
        <v>1.0012946979038226</v>
      </c>
      <c r="W6" s="45">
        <f t="shared" si="3"/>
        <v>1.0001026535954423</v>
      </c>
      <c r="X6" s="45">
        <f t="shared" si="3"/>
        <v>0.99748984292405984</v>
      </c>
      <c r="Y6" s="45">
        <f t="shared" si="3"/>
        <v>0.9866190862017381</v>
      </c>
      <c r="Z6" s="45">
        <f t="shared" si="3"/>
        <v>0.99942208184933812</v>
      </c>
      <c r="AA6" s="45">
        <f t="shared" si="3"/>
        <v>0.99467026084805443</v>
      </c>
      <c r="AB6" s="46">
        <f t="shared" si="3"/>
        <v>1.0086328008731025</v>
      </c>
      <c r="AC6">
        <v>1.0006502479919563</v>
      </c>
      <c r="AD6">
        <v>1.0024399801234753</v>
      </c>
      <c r="AE6">
        <v>0.9995736956671093</v>
      </c>
      <c r="AF6">
        <v>1.0039520587520594</v>
      </c>
      <c r="AG6">
        <v>1.0023904610206547</v>
      </c>
      <c r="AH6">
        <v>1.0049971784295637</v>
      </c>
      <c r="AI6">
        <v>1.0004003964386334</v>
      </c>
      <c r="AJ6" s="56">
        <f t="shared" ref="AJ6:AJ39" si="8">-W6+AC6</f>
        <v>5.4759439651408393E-4</v>
      </c>
      <c r="AK6" s="56">
        <f t="shared" si="4"/>
        <v>4.9501371994155052E-3</v>
      </c>
      <c r="AL6" s="56">
        <f t="shared" si="4"/>
        <v>1.2954609465371192E-2</v>
      </c>
      <c r="AM6" s="56">
        <f t="shared" ref="AM6:AM39" si="9">-AA6+AF6</f>
        <v>9.2817979040049625E-3</v>
      </c>
      <c r="AN6" s="54">
        <f t="shared" ref="AN6:AN40" si="10">AG6-Y6</f>
        <v>1.577137481891655E-2</v>
      </c>
      <c r="AO6" s="54">
        <f t="shared" ref="AO6:AO40" si="11">AH6-V6</f>
        <v>3.7024805257410698E-3</v>
      </c>
      <c r="AP6" s="55">
        <f t="shared" ref="AP6:AP40" si="12">AI6-AB6</f>
        <v>-8.2324044344690428E-3</v>
      </c>
    </row>
    <row r="7" spans="4:42" x14ac:dyDescent="0.2">
      <c r="D7" s="31">
        <v>44256</v>
      </c>
      <c r="F7">
        <f>M7/M6</f>
        <v>1.0023602713781494</v>
      </c>
      <c r="G7">
        <f>F7*G6</f>
        <v>0.99701795259543047</v>
      </c>
      <c r="H7" s="30">
        <v>4.9185999999999996</v>
      </c>
      <c r="I7" s="30">
        <v>1.9482999999999999</v>
      </c>
      <c r="J7" s="30">
        <v>26.1432</v>
      </c>
      <c r="K7" s="30">
        <v>4.6529999999999996</v>
      </c>
      <c r="L7" s="30">
        <v>7.43743</v>
      </c>
      <c r="M7" s="30">
        <v>363.09298699999999</v>
      </c>
      <c r="N7" s="30">
        <v>10.237399999999999</v>
      </c>
      <c r="O7" s="30">
        <f t="shared" si="6"/>
        <v>1.0095026989306897</v>
      </c>
      <c r="P7" s="30">
        <f t="shared" si="2"/>
        <v>0.99989735694123683</v>
      </c>
      <c r="Q7" s="30">
        <f t="shared" si="2"/>
        <v>0.9998279389708441</v>
      </c>
      <c r="R7" s="30">
        <f t="shared" si="2"/>
        <v>1.0299625468164793</v>
      </c>
      <c r="S7" s="30">
        <f t="shared" si="2"/>
        <v>1.000165407062747</v>
      </c>
      <c r="T7" s="30">
        <f t="shared" si="2"/>
        <v>1.0023602713781494</v>
      </c>
      <c r="U7" s="30">
        <f t="shared" si="2"/>
        <v>1.0070224207924248</v>
      </c>
      <c r="V7" s="44">
        <f t="shared" si="7"/>
        <v>1.0108096999588985</v>
      </c>
      <c r="W7" s="45">
        <f t="shared" si="3"/>
        <v>1</v>
      </c>
      <c r="X7" s="45">
        <f t="shared" si="3"/>
        <v>0.99731821379511376</v>
      </c>
      <c r="Y7" s="45">
        <f t="shared" si="3"/>
        <v>1.0161807067620896</v>
      </c>
      <c r="Z7" s="45">
        <f t="shared" si="3"/>
        <v>0.9995873933203413</v>
      </c>
      <c r="AA7" s="45">
        <f t="shared" si="3"/>
        <v>0.99701795259543047</v>
      </c>
      <c r="AB7" s="46">
        <f t="shared" si="3"/>
        <v>1.0157158448258754</v>
      </c>
      <c r="AC7">
        <v>1.00082529839344</v>
      </c>
      <c r="AD7">
        <v>1.0037264563714881</v>
      </c>
      <c r="AE7">
        <v>0.99939014520560154</v>
      </c>
      <c r="AF7">
        <v>1.0060130790065052</v>
      </c>
      <c r="AG7">
        <v>1.0035284117504653</v>
      </c>
      <c r="AH7">
        <v>1.00724041473304</v>
      </c>
      <c r="AI7">
        <v>1.0006586214531783</v>
      </c>
      <c r="AJ7" s="56">
        <f t="shared" si="8"/>
        <v>8.2529839344003264E-4</v>
      </c>
      <c r="AK7" s="56">
        <f t="shared" si="4"/>
        <v>6.4082425763742901E-3</v>
      </c>
      <c r="AL7" s="56">
        <f t="shared" si="4"/>
        <v>-1.6790561556488059E-2</v>
      </c>
      <c r="AM7" s="56">
        <f t="shared" si="9"/>
        <v>8.9951264110746942E-3</v>
      </c>
      <c r="AN7" s="54">
        <f t="shared" si="10"/>
        <v>-1.2652295011624348E-2</v>
      </c>
      <c r="AO7" s="54">
        <f t="shared" si="11"/>
        <v>-3.5692852258584207E-3</v>
      </c>
      <c r="AP7" s="55">
        <f t="shared" si="12"/>
        <v>-1.5057223372697104E-2</v>
      </c>
    </row>
    <row r="8" spans="4:42" x14ac:dyDescent="0.2">
      <c r="D8" s="31">
        <v>44287</v>
      </c>
      <c r="F8">
        <f>M8/M7</f>
        <v>0.99121713964693026</v>
      </c>
      <c r="G8">
        <f t="shared" si="5"/>
        <v>0.98826128314828132</v>
      </c>
      <c r="H8" s="30">
        <v>4.9240000000000004</v>
      </c>
      <c r="I8" s="30">
        <v>1.9483999999999999</v>
      </c>
      <c r="J8" s="30">
        <v>25.838100000000001</v>
      </c>
      <c r="K8" s="30">
        <v>4.5654399999999997</v>
      </c>
      <c r="L8" s="30">
        <v>7.4355399999999996</v>
      </c>
      <c r="M8" s="30">
        <v>359.90399200000002</v>
      </c>
      <c r="N8" s="30">
        <v>10.14527</v>
      </c>
      <c r="O8" s="30">
        <f t="shared" si="6"/>
        <v>1.0010978733786038</v>
      </c>
      <c r="P8" s="30">
        <f t="shared" si="2"/>
        <v>1.0000513267977211</v>
      </c>
      <c r="Q8" s="30">
        <f t="shared" si="2"/>
        <v>0.98832966125034427</v>
      </c>
      <c r="R8" s="30">
        <f t="shared" si="2"/>
        <v>0.98118203309692675</v>
      </c>
      <c r="S8" s="30">
        <f t="shared" si="2"/>
        <v>0.99974587996122311</v>
      </c>
      <c r="T8" s="30">
        <f t="shared" si="2"/>
        <v>0.99121713964693026</v>
      </c>
      <c r="U8" s="30">
        <f t="shared" si="2"/>
        <v>0.9910006446949422</v>
      </c>
      <c r="V8" s="44">
        <f t="shared" si="7"/>
        <v>1.0119194410193177</v>
      </c>
      <c r="W8" s="45">
        <f t="shared" si="3"/>
        <v>1.0000513267977211</v>
      </c>
      <c r="X8" s="45">
        <f t="shared" si="3"/>
        <v>0.98567917239892322</v>
      </c>
      <c r="Y8" s="45">
        <f t="shared" si="3"/>
        <v>0.99705825185469898</v>
      </c>
      <c r="Z8" s="45">
        <f t="shared" si="3"/>
        <v>0.99933337813318979</v>
      </c>
      <c r="AA8" s="45">
        <f t="shared" si="3"/>
        <v>0.98826128314828132</v>
      </c>
      <c r="AB8" s="46">
        <f t="shared" si="3"/>
        <v>1.0065750570493104</v>
      </c>
      <c r="AC8">
        <v>1.000916967004789</v>
      </c>
      <c r="AD8">
        <v>1.00525222094064</v>
      </c>
      <c r="AE8">
        <v>0.99934017694605903</v>
      </c>
      <c r="AF8">
        <v>1.0082075055838924</v>
      </c>
      <c r="AG8">
        <v>1.004773908835316</v>
      </c>
      <c r="AH8">
        <v>1.0096666201385089</v>
      </c>
      <c r="AI8">
        <v>1.0009665436481792</v>
      </c>
      <c r="AJ8" s="56">
        <f t="shared" si="8"/>
        <v>8.6564020706791922E-4</v>
      </c>
      <c r="AK8" s="56">
        <f t="shared" si="4"/>
        <v>1.957304854171682E-2</v>
      </c>
      <c r="AL8" s="56">
        <f t="shared" si="4"/>
        <v>2.2819250913600486E-3</v>
      </c>
      <c r="AM8" s="56">
        <f t="shared" si="9"/>
        <v>1.9946222435611061E-2</v>
      </c>
      <c r="AN8" s="54">
        <f t="shared" si="10"/>
        <v>7.7156569806170472E-3</v>
      </c>
      <c r="AO8" s="54">
        <f t="shared" si="11"/>
        <v>-2.2528208808088035E-3</v>
      </c>
      <c r="AP8" s="55">
        <f t="shared" si="12"/>
        <v>-5.608513401131221E-3</v>
      </c>
    </row>
    <row r="9" spans="4:42" x14ac:dyDescent="0.2">
      <c r="D9" s="31">
        <v>44317</v>
      </c>
      <c r="F9">
        <f>M9/M8</f>
        <v>0.96530183805241032</v>
      </c>
      <c r="G9">
        <f t="shared" si="5"/>
        <v>0.95397043309906948</v>
      </c>
      <c r="H9" s="30">
        <v>4.9170999999999996</v>
      </c>
      <c r="I9" s="30">
        <v>1.9480999999999999</v>
      </c>
      <c r="J9" s="30">
        <v>25.448399999999999</v>
      </c>
      <c r="K9" s="30">
        <v>4.4813200000000002</v>
      </c>
      <c r="L9" s="30">
        <v>7.4359599999999997</v>
      </c>
      <c r="M9" s="30">
        <v>347.41598499999998</v>
      </c>
      <c r="N9" s="30">
        <v>10.12852</v>
      </c>
      <c r="O9" s="30">
        <f t="shared" si="6"/>
        <v>0.99859870024370412</v>
      </c>
      <c r="P9" s="30">
        <f t="shared" si="2"/>
        <v>0.9998460275097516</v>
      </c>
      <c r="Q9" s="30">
        <f t="shared" si="2"/>
        <v>0.98491762165174679</v>
      </c>
      <c r="R9" s="30">
        <f t="shared" si="2"/>
        <v>0.98157461274269298</v>
      </c>
      <c r="S9" s="30">
        <f t="shared" si="2"/>
        <v>1.000056485473819</v>
      </c>
      <c r="T9" s="30">
        <f t="shared" si="2"/>
        <v>0.96530183805241032</v>
      </c>
      <c r="U9" s="30">
        <f t="shared" si="2"/>
        <v>0.9983489843050013</v>
      </c>
      <c r="V9" s="44">
        <f t="shared" si="7"/>
        <v>1.0105014385532263</v>
      </c>
      <c r="W9" s="45">
        <f t="shared" si="3"/>
        <v>0.99989734640455785</v>
      </c>
      <c r="X9" s="45">
        <f t="shared" si="3"/>
        <v>0.97081278619080957</v>
      </c>
      <c r="Y9" s="45">
        <f t="shared" si="3"/>
        <v>0.97868706744618261</v>
      </c>
      <c r="Z9" s="45">
        <f t="shared" si="3"/>
        <v>0.99938982595255677</v>
      </c>
      <c r="AA9" s="45">
        <f t="shared" si="3"/>
        <v>0.95397043309906948</v>
      </c>
      <c r="AB9" s="46">
        <f t="shared" si="3"/>
        <v>1.0049131858319278</v>
      </c>
      <c r="AC9">
        <v>1.0009669591131105</v>
      </c>
      <c r="AD9">
        <v>1.0067301437230629</v>
      </c>
      <c r="AE9">
        <v>0.99927358312139436</v>
      </c>
      <c r="AF9">
        <v>1.0103728422048195</v>
      </c>
      <c r="AG9">
        <v>1.0059955702705665</v>
      </c>
      <c r="AH9">
        <v>1.0119581743466752</v>
      </c>
      <c r="AI9">
        <v>1.0012079301118351</v>
      </c>
      <c r="AJ9" s="56">
        <f t="shared" si="8"/>
        <v>1.0696127085526586E-3</v>
      </c>
      <c r="AK9" s="56">
        <f t="shared" si="4"/>
        <v>3.5917357532253336E-2</v>
      </c>
      <c r="AL9" s="56">
        <f t="shared" si="4"/>
        <v>2.0586515675211747E-2</v>
      </c>
      <c r="AM9" s="56">
        <f t="shared" si="9"/>
        <v>5.6402409105750007E-2</v>
      </c>
      <c r="AN9" s="54">
        <f t="shared" si="10"/>
        <v>2.7308502824383907E-2</v>
      </c>
      <c r="AO9" s="54">
        <f t="shared" si="11"/>
        <v>1.45673579344896E-3</v>
      </c>
      <c r="AP9" s="55">
        <f t="shared" si="12"/>
        <v>-3.7052557200927261E-3</v>
      </c>
    </row>
    <row r="10" spans="4:42" x14ac:dyDescent="0.2">
      <c r="D10" s="31">
        <v>44348</v>
      </c>
      <c r="F10">
        <f>M10/M9</f>
        <v>1.0108285863703135</v>
      </c>
      <c r="G10">
        <f t="shared" si="5"/>
        <v>0.9643005843286081</v>
      </c>
      <c r="H10" s="30">
        <v>4.9246999999999996</v>
      </c>
      <c r="I10" s="30">
        <v>1.9482999999999999</v>
      </c>
      <c r="J10" s="30">
        <v>25.484698999999999</v>
      </c>
      <c r="K10" s="30">
        <v>4.5174000000000003</v>
      </c>
      <c r="L10" s="30">
        <v>7.4359000000000002</v>
      </c>
      <c r="M10" s="30">
        <v>351.17800899999997</v>
      </c>
      <c r="N10" s="30">
        <v>10.141120000000001</v>
      </c>
      <c r="O10" s="30">
        <f t="shared" si="6"/>
        <v>1.0015456264871572</v>
      </c>
      <c r="P10" s="30">
        <f t="shared" si="2"/>
        <v>1.0001026641342847</v>
      </c>
      <c r="Q10" s="30">
        <f t="shared" si="2"/>
        <v>1.0014263765109004</v>
      </c>
      <c r="R10" s="30">
        <f t="shared" si="2"/>
        <v>1.0080511992002357</v>
      </c>
      <c r="S10" s="30">
        <f t="shared" si="2"/>
        <v>0.99999193110237283</v>
      </c>
      <c r="T10" s="30">
        <f t="shared" si="2"/>
        <v>1.0108285863703135</v>
      </c>
      <c r="U10" s="30">
        <f t="shared" si="2"/>
        <v>1.0012440119583119</v>
      </c>
      <c r="V10" s="44">
        <f t="shared" si="7"/>
        <v>1.0120632963419645</v>
      </c>
      <c r="W10" s="45">
        <f t="shared" si="3"/>
        <v>1</v>
      </c>
      <c r="X10" s="45">
        <f t="shared" si="3"/>
        <v>0.97219753074551385</v>
      </c>
      <c r="Y10" s="45">
        <f t="shared" si="3"/>
        <v>0.98656667198088632</v>
      </c>
      <c r="Z10" s="45">
        <f t="shared" si="3"/>
        <v>0.99938176197836148</v>
      </c>
      <c r="AA10" s="45">
        <f t="shared" si="3"/>
        <v>0.9643005843286081</v>
      </c>
      <c r="AB10" s="46">
        <f t="shared" si="3"/>
        <v>1.0061633098521681</v>
      </c>
      <c r="AC10">
        <v>1.0008920280186047</v>
      </c>
      <c r="AD10">
        <v>1.0079853948139919</v>
      </c>
      <c r="AE10">
        <v>0.99917383031862017</v>
      </c>
      <c r="AF10">
        <v>1.012621631368922</v>
      </c>
      <c r="AG10">
        <v>1.0073158832432709</v>
      </c>
      <c r="AH10">
        <v>1.0142843557174581</v>
      </c>
      <c r="AI10">
        <v>1.0013659536814232</v>
      </c>
      <c r="AJ10" s="56">
        <f t="shared" si="8"/>
        <v>8.9202801860466252E-4</v>
      </c>
      <c r="AK10" s="56">
        <f t="shared" si="4"/>
        <v>3.5787864068478004E-2</v>
      </c>
      <c r="AL10" s="56">
        <f t="shared" si="4"/>
        <v>1.2607158337733848E-2</v>
      </c>
      <c r="AM10" s="56">
        <f t="shared" si="9"/>
        <v>4.8321047040313925E-2</v>
      </c>
      <c r="AN10" s="54">
        <f t="shared" si="10"/>
        <v>2.0749211262384604E-2</v>
      </c>
      <c r="AO10" s="54">
        <f t="shared" si="11"/>
        <v>2.2210593754936614E-3</v>
      </c>
      <c r="AP10" s="55">
        <f t="shared" si="12"/>
        <v>-4.7973561707448376E-3</v>
      </c>
    </row>
    <row r="11" spans="4:42" x14ac:dyDescent="0.2">
      <c r="D11" s="31">
        <v>44378</v>
      </c>
      <c r="F11">
        <f>M11/M10</f>
        <v>1.019545594610396</v>
      </c>
      <c r="G11">
        <f t="shared" si="5"/>
        <v>0.983148412632463</v>
      </c>
      <c r="H11" s="30">
        <v>4.9165000000000001</v>
      </c>
      <c r="I11" s="30">
        <v>1.9483999999999999</v>
      </c>
      <c r="J11" s="30">
        <v>25.345099999999999</v>
      </c>
      <c r="K11" s="30">
        <v>4.5659299999999998</v>
      </c>
      <c r="L11" s="30">
        <v>7.4372100000000003</v>
      </c>
      <c r="M11" s="30">
        <v>358.04199199999999</v>
      </c>
      <c r="N11" s="30">
        <v>10.18018</v>
      </c>
      <c r="O11" s="30">
        <f t="shared" si="6"/>
        <v>0.99833492395475876</v>
      </c>
      <c r="P11" s="30">
        <f t="shared" si="2"/>
        <v>1.0000513267977211</v>
      </c>
      <c r="Q11" s="30">
        <f t="shared" si="2"/>
        <v>0.99452224254247612</v>
      </c>
      <c r="R11" s="30">
        <f t="shared" si="2"/>
        <v>1.010742905210962</v>
      </c>
      <c r="S11" s="30">
        <f t="shared" si="2"/>
        <v>1.000176172353044</v>
      </c>
      <c r="T11" s="30">
        <f t="shared" si="2"/>
        <v>1.019545594610396</v>
      </c>
      <c r="U11" s="30">
        <f t="shared" si="2"/>
        <v>1.0038516455776088</v>
      </c>
      <c r="V11" s="44">
        <f t="shared" si="7"/>
        <v>1.0103781339909577</v>
      </c>
      <c r="W11" s="45">
        <f t="shared" si="3"/>
        <v>1.0000513267977211</v>
      </c>
      <c r="X11" s="45">
        <f t="shared" si="3"/>
        <v>0.96687206847128626</v>
      </c>
      <c r="Y11" s="45">
        <f t="shared" si="3"/>
        <v>0.99716526422227125</v>
      </c>
      <c r="Z11" s="45">
        <f t="shared" si="3"/>
        <v>0.99955782541495852</v>
      </c>
      <c r="AA11" s="45">
        <f t="shared" si="3"/>
        <v>0.983148412632463</v>
      </c>
      <c r="AB11" s="46">
        <f t="shared" si="3"/>
        <v>1.0100386943149124</v>
      </c>
      <c r="AC11">
        <v>1.0008753716081684</v>
      </c>
      <c r="AD11">
        <v>1.0092430833973531</v>
      </c>
      <c r="AE11">
        <v>0.99913225506757108</v>
      </c>
      <c r="AF11">
        <v>1.014860537517694</v>
      </c>
      <c r="AG11">
        <v>1.0086636253032892</v>
      </c>
      <c r="AH11">
        <v>1.0167408348201183</v>
      </c>
      <c r="AI11">
        <v>1.0015324290988663</v>
      </c>
      <c r="AJ11" s="56">
        <f t="shared" si="8"/>
        <v>8.2404481044728861E-4</v>
      </c>
      <c r="AK11" s="56">
        <f t="shared" si="4"/>
        <v>4.2371014926066874E-2</v>
      </c>
      <c r="AL11" s="56">
        <f t="shared" si="4"/>
        <v>1.9669908452998319E-3</v>
      </c>
      <c r="AM11" s="56">
        <f t="shared" si="9"/>
        <v>3.1712124885231008E-2</v>
      </c>
      <c r="AN11" s="54">
        <f t="shared" si="10"/>
        <v>1.1498361081017983E-2</v>
      </c>
      <c r="AO11" s="54">
        <f t="shared" si="11"/>
        <v>6.3627008291606835E-3</v>
      </c>
      <c r="AP11" s="55">
        <f t="shared" si="12"/>
        <v>-8.5062652160461383E-3</v>
      </c>
    </row>
    <row r="12" spans="4:42" x14ac:dyDescent="0.2">
      <c r="D12" s="31">
        <v>44409</v>
      </c>
      <c r="F12">
        <f>M12/M11</f>
        <v>0.97118498324073677</v>
      </c>
      <c r="G12">
        <f t="shared" si="5"/>
        <v>0.95481897464561549</v>
      </c>
      <c r="H12" s="30">
        <v>4.9335000000000004</v>
      </c>
      <c r="I12" s="30">
        <v>1.9482999999999999</v>
      </c>
      <c r="J12" s="30">
        <v>25.419599999999999</v>
      </c>
      <c r="K12" s="30">
        <v>4.5560400000000003</v>
      </c>
      <c r="L12" s="30">
        <v>7.4357199999999999</v>
      </c>
      <c r="M12" s="30">
        <v>347.72500600000001</v>
      </c>
      <c r="N12" s="30">
        <v>10.1744</v>
      </c>
      <c r="O12" s="30">
        <f t="shared" si="6"/>
        <v>1.0034577443303163</v>
      </c>
      <c r="P12" s="30">
        <f t="shared" si="2"/>
        <v>0.99994867583658387</v>
      </c>
      <c r="Q12" s="30">
        <f t="shared" si="2"/>
        <v>1.0029394241885019</v>
      </c>
      <c r="R12" s="30">
        <f t="shared" si="2"/>
        <v>0.99783395715659251</v>
      </c>
      <c r="S12" s="30">
        <f t="shared" si="2"/>
        <v>0.99979965605381582</v>
      </c>
      <c r="T12" s="30">
        <f t="shared" si="2"/>
        <v>0.97118498324073677</v>
      </c>
      <c r="U12" s="30">
        <f t="shared" si="2"/>
        <v>0.99943223007844662</v>
      </c>
      <c r="V12" s="44">
        <f t="shared" si="7"/>
        <v>1.0138717632552405</v>
      </c>
      <c r="W12" s="45">
        <f t="shared" si="3"/>
        <v>1</v>
      </c>
      <c r="X12" s="45">
        <f t="shared" si="3"/>
        <v>0.96971411561653764</v>
      </c>
      <c r="Y12" s="45">
        <f t="shared" si="3"/>
        <v>0.99500536153800812</v>
      </c>
      <c r="Z12" s="45">
        <f t="shared" si="3"/>
        <v>0.99935757005577563</v>
      </c>
      <c r="AA12" s="45">
        <f t="shared" si="3"/>
        <v>0.95481897464561549</v>
      </c>
      <c r="AB12" s="46">
        <f t="shared" si="3"/>
        <v>1.0094652247246754</v>
      </c>
      <c r="AC12">
        <v>1.000975384147833</v>
      </c>
      <c r="AD12">
        <v>1.0106615422141503</v>
      </c>
      <c r="AE12">
        <v>0.999073965306982</v>
      </c>
      <c r="AF12">
        <v>1.0172064709023796</v>
      </c>
      <c r="AG12">
        <v>1.0099901994127838</v>
      </c>
      <c r="AH12">
        <v>1.0194291043400754</v>
      </c>
      <c r="AI12">
        <v>1.0016658422653597</v>
      </c>
      <c r="AJ12" s="56">
        <f t="shared" si="8"/>
        <v>9.7538414783304717E-4</v>
      </c>
      <c r="AK12" s="56">
        <f t="shared" si="4"/>
        <v>4.0947426597612635E-2</v>
      </c>
      <c r="AL12" s="56">
        <f t="shared" si="4"/>
        <v>4.0686037689738885E-3</v>
      </c>
      <c r="AM12" s="56">
        <f t="shared" si="9"/>
        <v>6.2387496256764097E-2</v>
      </c>
      <c r="AN12" s="54">
        <f t="shared" si="10"/>
        <v>1.4984837874775669E-2</v>
      </c>
      <c r="AO12" s="54">
        <f t="shared" si="11"/>
        <v>5.5573410848348548E-3</v>
      </c>
      <c r="AP12" s="55">
        <f t="shared" si="12"/>
        <v>-7.7993824593156624E-3</v>
      </c>
    </row>
    <row r="13" spans="4:42" x14ac:dyDescent="0.2">
      <c r="D13" s="31">
        <v>44440</v>
      </c>
      <c r="F13">
        <f>M13/M12</f>
        <v>1.0353411511624218</v>
      </c>
      <c r="G13">
        <f t="shared" si="5"/>
        <v>0.98856337636131475</v>
      </c>
      <c r="H13" s="30">
        <v>4.9442000000000004</v>
      </c>
      <c r="I13" s="30">
        <v>1.9368000000000001</v>
      </c>
      <c r="J13" s="30">
        <v>25.364598999999998</v>
      </c>
      <c r="K13" s="30">
        <v>4.6301100000000002</v>
      </c>
      <c r="L13" s="30">
        <v>7.4356200000000001</v>
      </c>
      <c r="M13" s="30">
        <v>360.01400799999999</v>
      </c>
      <c r="N13" s="30">
        <v>10.196339999999999</v>
      </c>
      <c r="O13" s="30">
        <f t="shared" si="6"/>
        <v>1.0021688456471065</v>
      </c>
      <c r="P13" s="30">
        <f t="shared" si="2"/>
        <v>0.99409741826207476</v>
      </c>
      <c r="Q13" s="30">
        <f t="shared" si="2"/>
        <v>0.99783627594454671</v>
      </c>
      <c r="R13" s="30">
        <f t="shared" si="2"/>
        <v>1.0162575394421471</v>
      </c>
      <c r="S13" s="30">
        <f t="shared" si="2"/>
        <v>0.99998655140322656</v>
      </c>
      <c r="T13" s="30">
        <f t="shared" si="2"/>
        <v>1.0353411511624218</v>
      </c>
      <c r="U13" s="30">
        <f t="shared" si="2"/>
        <v>1.0021563925145462</v>
      </c>
      <c r="V13" s="44">
        <f t="shared" si="7"/>
        <v>1.0160706946157008</v>
      </c>
      <c r="W13" s="45">
        <f t="shared" si="3"/>
        <v>0.99409741826207476</v>
      </c>
      <c r="X13" s="45">
        <f t="shared" si="3"/>
        <v>0.96761592185766554</v>
      </c>
      <c r="Y13" s="45">
        <f t="shared" si="3"/>
        <v>1.0111817004483601</v>
      </c>
      <c r="Z13" s="45">
        <f t="shared" si="3"/>
        <v>0.99934413009878342</v>
      </c>
      <c r="AA13" s="45">
        <f t="shared" si="3"/>
        <v>0.98856337636131475</v>
      </c>
      <c r="AB13" s="46">
        <f t="shared" si="3"/>
        <v>1.0116420279789664</v>
      </c>
      <c r="AC13">
        <v>1.0011672082741963</v>
      </c>
      <c r="AD13">
        <v>1.0121913883944498</v>
      </c>
      <c r="AE13">
        <v>0.99901561475366951</v>
      </c>
      <c r="AF13">
        <v>1.0196595864666607</v>
      </c>
      <c r="AG13">
        <v>1.0114029638688202</v>
      </c>
      <c r="AH13">
        <v>1.0226134271405085</v>
      </c>
      <c r="AI13">
        <v>1.0018327838452994</v>
      </c>
      <c r="AJ13" s="56">
        <f t="shared" si="8"/>
        <v>7.0697900121214907E-3</v>
      </c>
      <c r="AK13" s="56">
        <f t="shared" si="4"/>
        <v>4.4575466536784236E-2</v>
      </c>
      <c r="AL13" s="56">
        <f t="shared" si="4"/>
        <v>-1.2166085694690576E-2</v>
      </c>
      <c r="AM13" s="56">
        <f t="shared" si="9"/>
        <v>3.1096210105345912E-2</v>
      </c>
      <c r="AN13" s="54">
        <f t="shared" si="10"/>
        <v>2.2126342046013825E-4</v>
      </c>
      <c r="AO13" s="54">
        <f t="shared" si="11"/>
        <v>6.5427325248077484E-3</v>
      </c>
      <c r="AP13" s="55">
        <f t="shared" si="12"/>
        <v>-9.8092441336670166E-3</v>
      </c>
    </row>
    <row r="14" spans="4:42" x14ac:dyDescent="0.2">
      <c r="D14" s="31">
        <v>44470</v>
      </c>
      <c r="F14">
        <f>M14/M13</f>
        <v>0.99956946397485735</v>
      </c>
      <c r="G14">
        <f t="shared" si="5"/>
        <v>0.9881377642146546</v>
      </c>
      <c r="H14" s="30">
        <v>4.9459999999999997</v>
      </c>
      <c r="I14" s="30">
        <v>1.9482999999999999</v>
      </c>
      <c r="J14" s="30">
        <v>25.510200999999999</v>
      </c>
      <c r="K14" s="30">
        <v>4.6097799999999998</v>
      </c>
      <c r="L14" s="30">
        <v>7.4390400000000003</v>
      </c>
      <c r="M14" s="30">
        <v>359.85900900000001</v>
      </c>
      <c r="N14" s="30">
        <v>9.9185199999999991</v>
      </c>
      <c r="O14" s="30">
        <f t="shared" si="6"/>
        <v>1.0003640629424375</v>
      </c>
      <c r="P14" s="30">
        <f t="shared" si="2"/>
        <v>1.0059376290788928</v>
      </c>
      <c r="Q14" s="30">
        <f t="shared" si="2"/>
        <v>1.0057403627788477</v>
      </c>
      <c r="R14" s="30">
        <f t="shared" si="2"/>
        <v>0.99560917559194051</v>
      </c>
      <c r="S14" s="30">
        <f t="shared" si="2"/>
        <v>1.0004599481953085</v>
      </c>
      <c r="T14" s="30">
        <f t="shared" si="2"/>
        <v>0.99956946397485735</v>
      </c>
      <c r="U14" s="30">
        <f t="shared" si="2"/>
        <v>0.97275296822193058</v>
      </c>
      <c r="V14" s="44">
        <f t="shared" si="7"/>
        <v>1.016440608302507</v>
      </c>
      <c r="W14" s="45">
        <f t="shared" si="3"/>
        <v>1</v>
      </c>
      <c r="X14" s="45">
        <f t="shared" si="3"/>
        <v>0.97317038827971769</v>
      </c>
      <c r="Y14" s="45">
        <f t="shared" si="3"/>
        <v>1.0067417791570483</v>
      </c>
      <c r="Z14" s="45">
        <f t="shared" si="3"/>
        <v>0.99980377662791453</v>
      </c>
      <c r="AA14" s="45">
        <f t="shared" si="3"/>
        <v>0.9881377642146546</v>
      </c>
      <c r="AB14" s="46">
        <f t="shared" si="3"/>
        <v>0.9840777854945929</v>
      </c>
      <c r="AC14">
        <v>1.0012422198705981</v>
      </c>
      <c r="AD14">
        <v>1.013729563024202</v>
      </c>
      <c r="AE14">
        <v>0.99895735510459904</v>
      </c>
      <c r="AF14">
        <v>1.0222059092493394</v>
      </c>
      <c r="AG14">
        <v>1.0129150856934708</v>
      </c>
      <c r="AH14">
        <v>1.0259099160038052</v>
      </c>
      <c r="AI14">
        <v>1.0020078311348601</v>
      </c>
      <c r="AJ14" s="56">
        <f t="shared" si="8"/>
        <v>1.242219870598138E-3</v>
      </c>
      <c r="AK14" s="56">
        <f t="shared" si="4"/>
        <v>4.0559174744484339E-2</v>
      </c>
      <c r="AL14" s="56">
        <f t="shared" si="4"/>
        <v>-7.7844240524492792E-3</v>
      </c>
      <c r="AM14" s="56">
        <f t="shared" si="9"/>
        <v>3.4068145034684805E-2</v>
      </c>
      <c r="AN14" s="54">
        <f t="shared" si="10"/>
        <v>6.1733065364224515E-3</v>
      </c>
      <c r="AO14" s="54">
        <f t="shared" si="11"/>
        <v>9.4693077012981686E-3</v>
      </c>
      <c r="AP14" s="55">
        <f t="shared" si="12"/>
        <v>1.7930045640267234E-2</v>
      </c>
    </row>
    <row r="15" spans="4:42" x14ac:dyDescent="0.2">
      <c r="D15" s="31">
        <v>44501</v>
      </c>
      <c r="F15">
        <f>M15/M14</f>
        <v>1.0201717945596855</v>
      </c>
      <c r="G15">
        <f t="shared" si="5"/>
        <v>1.0080702761910596</v>
      </c>
      <c r="H15" s="30">
        <v>4.9470999999999998</v>
      </c>
      <c r="I15" s="30">
        <v>1.9483999999999999</v>
      </c>
      <c r="J15" s="30">
        <v>25.564399999999999</v>
      </c>
      <c r="K15" s="30">
        <v>4.67964</v>
      </c>
      <c r="L15" s="30">
        <v>7.4363900000000003</v>
      </c>
      <c r="M15" s="30">
        <v>367.11801100000002</v>
      </c>
      <c r="N15" s="30">
        <v>10.23231</v>
      </c>
      <c r="O15" s="30">
        <f t="shared" si="6"/>
        <v>1.0002224019409625</v>
      </c>
      <c r="P15" s="30">
        <f t="shared" si="2"/>
        <v>1.0000513267977211</v>
      </c>
      <c r="Q15" s="30">
        <f t="shared" si="2"/>
        <v>1.0021246010566518</v>
      </c>
      <c r="R15" s="30">
        <f t="shared" si="2"/>
        <v>1.0151547362347011</v>
      </c>
      <c r="S15" s="30">
        <f t="shared" si="2"/>
        <v>0.99964377123929971</v>
      </c>
      <c r="T15" s="30">
        <f t="shared" si="2"/>
        <v>1.0201717945596855</v>
      </c>
      <c r="U15" s="30">
        <f t="shared" si="2"/>
        <v>1.0316367764545518</v>
      </c>
      <c r="V15" s="44">
        <f t="shared" si="7"/>
        <v>1.0166666666666666</v>
      </c>
      <c r="W15" s="45">
        <f t="shared" si="3"/>
        <v>1.0000513267977211</v>
      </c>
      <c r="X15" s="45">
        <f t="shared" si="3"/>
        <v>0.97523798711495902</v>
      </c>
      <c r="Y15" s="45">
        <f t="shared" si="3"/>
        <v>1.0219986852766272</v>
      </c>
      <c r="Z15" s="45">
        <f t="shared" si="3"/>
        <v>0.99944761776762292</v>
      </c>
      <c r="AA15" s="45">
        <f t="shared" si="3"/>
        <v>1.0080702761910596</v>
      </c>
      <c r="AB15" s="46">
        <f t="shared" si="3"/>
        <v>1.0152108344081756</v>
      </c>
      <c r="AC15">
        <v>1.0012671925526362</v>
      </c>
      <c r="AD15">
        <v>1.0154994589900623</v>
      </c>
      <c r="AE15">
        <v>0.99885762391368804</v>
      </c>
      <c r="AF15">
        <v>1.0251095046288428</v>
      </c>
      <c r="AG15">
        <v>1.0149228573656688</v>
      </c>
      <c r="AH15">
        <v>1.0296964061678591</v>
      </c>
      <c r="AI15">
        <v>1.0021410414568701</v>
      </c>
      <c r="AJ15" s="56">
        <f t="shared" si="8"/>
        <v>1.2158657549150576E-3</v>
      </c>
      <c r="AK15" s="56">
        <f t="shared" si="4"/>
        <v>4.0261471875103316E-2</v>
      </c>
      <c r="AL15" s="56">
        <f t="shared" si="4"/>
        <v>-2.3141061362939142E-2</v>
      </c>
      <c r="AM15" s="56">
        <f t="shared" si="9"/>
        <v>1.703922843778316E-2</v>
      </c>
      <c r="AN15" s="54">
        <f t="shared" si="10"/>
        <v>-7.0758279109583988E-3</v>
      </c>
      <c r="AO15" s="54">
        <f t="shared" si="11"/>
        <v>1.3029739501192461E-2</v>
      </c>
      <c r="AP15" s="55">
        <f t="shared" si="12"/>
        <v>-1.3069792951305503E-2</v>
      </c>
    </row>
    <row r="16" spans="4:42" x14ac:dyDescent="0.2">
      <c r="D16" s="31">
        <v>44531</v>
      </c>
      <c r="F16">
        <f>M16/M15</f>
        <v>1.0042629425773393</v>
      </c>
      <c r="G16">
        <f t="shared" si="5"/>
        <v>1.0123676218923847</v>
      </c>
      <c r="H16" s="30">
        <v>4.9450000000000003</v>
      </c>
      <c r="I16" s="30">
        <v>1.9482999999999999</v>
      </c>
      <c r="J16" s="30">
        <v>24.7134</v>
      </c>
      <c r="K16" s="30">
        <v>4.5904499999999997</v>
      </c>
      <c r="L16" s="30">
        <v>7.4366399999999997</v>
      </c>
      <c r="M16" s="30">
        <v>368.68301400000001</v>
      </c>
      <c r="N16" s="30">
        <v>10.24296</v>
      </c>
      <c r="O16" s="30">
        <f t="shared" si="6"/>
        <v>0.99957550888399271</v>
      </c>
      <c r="P16" s="30">
        <f t="shared" si="2"/>
        <v>0.99994867583658387</v>
      </c>
      <c r="Q16" s="30">
        <f t="shared" si="2"/>
        <v>0.96671152070848532</v>
      </c>
      <c r="R16" s="30">
        <f t="shared" si="2"/>
        <v>0.98094084160320016</v>
      </c>
      <c r="S16" s="30">
        <f t="shared" si="2"/>
        <v>1.0000336184627217</v>
      </c>
      <c r="T16" s="30">
        <f t="shared" si="2"/>
        <v>1.0042629425773393</v>
      </c>
      <c r="U16" s="30">
        <f t="shared" si="2"/>
        <v>1.0010408206944472</v>
      </c>
      <c r="V16" s="44">
        <f t="shared" si="7"/>
        <v>1.0162351006987258</v>
      </c>
      <c r="W16" s="45">
        <f t="shared" si="3"/>
        <v>1</v>
      </c>
      <c r="X16" s="45">
        <f t="shared" si="3"/>
        <v>0.94277379757658419</v>
      </c>
      <c r="Y16" s="45">
        <f t="shared" si="3"/>
        <v>1.0025202504526187</v>
      </c>
      <c r="Z16" s="45">
        <f t="shared" si="3"/>
        <v>0.99948121766010312</v>
      </c>
      <c r="AA16" s="45">
        <f t="shared" si="3"/>
        <v>1.0123676218923847</v>
      </c>
      <c r="AB16" s="46">
        <f t="shared" si="3"/>
        <v>1.0162674868538546</v>
      </c>
      <c r="AC16">
        <v>1.0013338060344643</v>
      </c>
      <c r="AD16">
        <v>1.0175464053586554</v>
      </c>
      <c r="AE16">
        <v>0.99872457148635052</v>
      </c>
      <c r="AF16">
        <v>1.0283775415430019</v>
      </c>
      <c r="AG16">
        <v>1.0173806406941841</v>
      </c>
      <c r="AH16">
        <v>1.0338353878260533</v>
      </c>
      <c r="AI16">
        <v>1.0022243733591831</v>
      </c>
      <c r="AJ16" s="56">
        <f t="shared" si="8"/>
        <v>1.3338060344643132E-3</v>
      </c>
      <c r="AK16" s="56">
        <f t="shared" si="4"/>
        <v>7.4772607782071177E-2</v>
      </c>
      <c r="AL16" s="56">
        <f t="shared" si="4"/>
        <v>-3.7956789662682011E-3</v>
      </c>
      <c r="AM16" s="56">
        <f t="shared" si="9"/>
        <v>1.6009919650617155E-2</v>
      </c>
      <c r="AN16" s="54">
        <f t="shared" si="10"/>
        <v>1.486039024156538E-2</v>
      </c>
      <c r="AO16" s="54">
        <f t="shared" si="11"/>
        <v>1.760028712732753E-2</v>
      </c>
      <c r="AP16" s="55">
        <f t="shared" si="12"/>
        <v>-1.4043113494671466E-2</v>
      </c>
    </row>
    <row r="17" spans="4:42" x14ac:dyDescent="0.2">
      <c r="D17" s="31">
        <v>44562</v>
      </c>
      <c r="F17">
        <f>M17/M16</f>
        <v>0.97128964015684205</v>
      </c>
      <c r="G17">
        <f t="shared" si="5"/>
        <v>0.9833021831742923</v>
      </c>
      <c r="H17" s="30">
        <v>4.9433999999999996</v>
      </c>
      <c r="I17" s="30">
        <v>1.9458</v>
      </c>
      <c r="J17" s="30">
        <v>24.433599000000001</v>
      </c>
      <c r="K17" s="30">
        <v>4.5810599999999999</v>
      </c>
      <c r="L17" s="30">
        <v>7.4426399999999999</v>
      </c>
      <c r="M17" s="30">
        <v>358.09799199999998</v>
      </c>
      <c r="N17" s="30">
        <v>10.507339999999999</v>
      </c>
      <c r="O17" s="30">
        <f t="shared" si="6"/>
        <v>0.9996764408493426</v>
      </c>
      <c r="P17" s="30">
        <f t="shared" si="2"/>
        <v>0.99871683005697276</v>
      </c>
      <c r="Q17" s="30">
        <f t="shared" si="2"/>
        <v>0.98867816650076479</v>
      </c>
      <c r="R17" s="30">
        <f t="shared" si="2"/>
        <v>0.99795444891023766</v>
      </c>
      <c r="S17" s="30">
        <f t="shared" si="2"/>
        <v>1.000806815981411</v>
      </c>
      <c r="T17" s="30">
        <f t="shared" si="2"/>
        <v>0.97128964015684205</v>
      </c>
      <c r="U17" s="30">
        <f t="shared" si="2"/>
        <v>1.0258108984121777</v>
      </c>
      <c r="V17" s="44">
        <f t="shared" si="7"/>
        <v>1.0159062885326755</v>
      </c>
      <c r="W17" s="45">
        <f t="shared" si="3"/>
        <v>0.99871683005697276</v>
      </c>
      <c r="X17" s="45">
        <f t="shared" si="3"/>
        <v>0.93209986961298041</v>
      </c>
      <c r="Y17" s="45">
        <f t="shared" si="3"/>
        <v>1.0004695440617966</v>
      </c>
      <c r="Z17" s="45">
        <f t="shared" si="3"/>
        <v>1.0002876150796314</v>
      </c>
      <c r="AA17" s="45">
        <f t="shared" si="3"/>
        <v>0.9833021831742923</v>
      </c>
      <c r="AB17" s="46">
        <f t="shared" si="3"/>
        <v>1.0424982637166385</v>
      </c>
      <c r="AC17">
        <v>1.0015917822287062</v>
      </c>
      <c r="AD17">
        <v>1.0196314140096046</v>
      </c>
      <c r="AE17">
        <v>0.99854985358988335</v>
      </c>
      <c r="AF17">
        <v>1.0319625583485439</v>
      </c>
      <c r="AG17">
        <v>1.0200676891893001</v>
      </c>
      <c r="AH17">
        <v>1.0382392844297257</v>
      </c>
      <c r="AI17">
        <v>1.0022327140038503</v>
      </c>
      <c r="AJ17" s="56">
        <f t="shared" si="8"/>
        <v>2.8749521717333915E-3</v>
      </c>
      <c r="AK17" s="56">
        <f t="shared" si="4"/>
        <v>8.7531544396624139E-2</v>
      </c>
      <c r="AL17" s="56">
        <f t="shared" si="4"/>
        <v>-1.9196904719132046E-3</v>
      </c>
      <c r="AM17" s="56">
        <f t="shared" si="9"/>
        <v>4.8660375174251591E-2</v>
      </c>
      <c r="AN17" s="54">
        <f t="shared" si="10"/>
        <v>1.9598145127503575E-2</v>
      </c>
      <c r="AO17" s="54">
        <f t="shared" si="11"/>
        <v>2.2332995897050179E-2</v>
      </c>
      <c r="AP17" s="55">
        <f t="shared" si="12"/>
        <v>-4.0265549712788173E-2</v>
      </c>
    </row>
    <row r="18" spans="4:42" x14ac:dyDescent="0.2">
      <c r="D18" s="31">
        <v>44593</v>
      </c>
      <c r="F18">
        <f>M18/M17</f>
        <v>1.0263894582240496</v>
      </c>
      <c r="G18">
        <f t="shared" si="5"/>
        <v>1.0092509950587871</v>
      </c>
      <c r="H18" s="30">
        <v>4.9454000000000002</v>
      </c>
      <c r="I18" s="30">
        <v>1.9458</v>
      </c>
      <c r="J18" s="30">
        <v>24.985001</v>
      </c>
      <c r="K18" s="30">
        <v>4.6996399999999996</v>
      </c>
      <c r="L18" s="30">
        <v>7.4407399999999999</v>
      </c>
      <c r="M18" s="30">
        <v>367.54800399999999</v>
      </c>
      <c r="N18" s="30">
        <v>10.65682</v>
      </c>
      <c r="O18" s="30">
        <f t="shared" si="6"/>
        <v>1.0004045798438324</v>
      </c>
      <c r="P18" s="30">
        <f t="shared" si="2"/>
        <v>1</v>
      </c>
      <c r="Q18" s="30">
        <f t="shared" si="2"/>
        <v>1.0225673671733746</v>
      </c>
      <c r="R18" s="30">
        <f t="shared" si="2"/>
        <v>1.0258848388800845</v>
      </c>
      <c r="S18" s="30">
        <f t="shared" si="2"/>
        <v>0.99974471424118327</v>
      </c>
      <c r="T18" s="30">
        <f t="shared" si="2"/>
        <v>1.0263894582240496</v>
      </c>
      <c r="U18" s="30">
        <f t="shared" si="2"/>
        <v>1.0142262456530389</v>
      </c>
      <c r="V18" s="44">
        <f t="shared" si="7"/>
        <v>1.0163173037402384</v>
      </c>
      <c r="W18" s="45">
        <f t="shared" si="3"/>
        <v>0.99871683005697276</v>
      </c>
      <c r="X18" s="45">
        <f t="shared" si="3"/>
        <v>0.95313490961279113</v>
      </c>
      <c r="Y18" s="45">
        <f t="shared" si="3"/>
        <v>1.0263665370142678</v>
      </c>
      <c r="Z18" s="45">
        <f t="shared" si="3"/>
        <v>1.0000322558967809</v>
      </c>
      <c r="AA18" s="45">
        <f t="shared" si="3"/>
        <v>1.0092509950587871</v>
      </c>
      <c r="AB18" s="46">
        <f t="shared" si="3"/>
        <v>1.0573291001091378</v>
      </c>
      <c r="AC18">
        <v>1.0017329995304447</v>
      </c>
      <c r="AD18">
        <v>1.0219052724943747</v>
      </c>
      <c r="AE18">
        <v>0.99830918000721813</v>
      </c>
      <c r="AF18">
        <v>1.0355835529966166</v>
      </c>
      <c r="AG18">
        <v>1.0230667267360267</v>
      </c>
      <c r="AH18">
        <v>1.0424279878185949</v>
      </c>
      <c r="AI18">
        <v>1.002199433267754</v>
      </c>
      <c r="AJ18" s="56">
        <f t="shared" si="8"/>
        <v>3.0161694734719413E-3</v>
      </c>
      <c r="AK18" s="56">
        <f t="shared" si="4"/>
        <v>6.8770362881583558E-2</v>
      </c>
      <c r="AL18" s="56">
        <f t="shared" si="4"/>
        <v>-2.8057357007049699E-2</v>
      </c>
      <c r="AM18" s="56">
        <f t="shared" si="9"/>
        <v>2.6332557937829515E-2</v>
      </c>
      <c r="AN18" s="54">
        <f t="shared" si="10"/>
        <v>-3.299810278241111E-3</v>
      </c>
      <c r="AO18" s="54">
        <f t="shared" si="11"/>
        <v>2.6110684078356483E-2</v>
      </c>
      <c r="AP18" s="55">
        <f t="shared" si="12"/>
        <v>-5.5129666841383873E-2</v>
      </c>
    </row>
    <row r="19" spans="4:42" x14ac:dyDescent="0.2">
      <c r="D19" s="31">
        <v>44621</v>
      </c>
      <c r="F19">
        <f>M19/M18</f>
        <v>0.99835392657988697</v>
      </c>
      <c r="G19">
        <f t="shared" si="5"/>
        <v>1.0075896938215982</v>
      </c>
      <c r="H19" s="30">
        <v>4.9444999999999997</v>
      </c>
      <c r="I19" s="30">
        <v>1.9482999999999999</v>
      </c>
      <c r="J19" s="30">
        <v>24.413098999999999</v>
      </c>
      <c r="K19" s="30">
        <v>4.6402700000000001</v>
      </c>
      <c r="L19" s="30">
        <v>7.4371499999999999</v>
      </c>
      <c r="M19" s="30">
        <v>366.942993</v>
      </c>
      <c r="N19" s="30">
        <v>10.32466</v>
      </c>
      <c r="O19" s="30">
        <f t="shared" si="6"/>
        <v>0.99981801269866932</v>
      </c>
      <c r="P19" s="30">
        <f t="shared" si="2"/>
        <v>1.0012848185836161</v>
      </c>
      <c r="Q19" s="30">
        <f t="shared" si="2"/>
        <v>0.97711018702780916</v>
      </c>
      <c r="R19" s="30">
        <f t="shared" si="2"/>
        <v>0.9873671174813391</v>
      </c>
      <c r="S19" s="30">
        <f t="shared" si="2"/>
        <v>0.99951752110677161</v>
      </c>
      <c r="T19" s="30">
        <f t="shared" si="2"/>
        <v>0.99835392657988697</v>
      </c>
      <c r="U19" s="30">
        <f t="shared" si="2"/>
        <v>0.968831227326726</v>
      </c>
      <c r="V19" s="44">
        <f t="shared" si="7"/>
        <v>1.0161323468968351</v>
      </c>
      <c r="W19" s="45">
        <f t="shared" si="3"/>
        <v>1</v>
      </c>
      <c r="X19" s="45">
        <f t="shared" si="3"/>
        <v>0.93131782979448829</v>
      </c>
      <c r="Y19" s="45">
        <f t="shared" si="3"/>
        <v>1.0134005691310817</v>
      </c>
      <c r="Z19" s="45">
        <f t="shared" si="3"/>
        <v>0.99954976144076313</v>
      </c>
      <c r="AA19" s="45">
        <f t="shared" si="3"/>
        <v>1.0075896938215982</v>
      </c>
      <c r="AB19" s="46">
        <f t="shared" si="3"/>
        <v>1.0243734497469987</v>
      </c>
      <c r="AC19">
        <v>1.0016003591638207</v>
      </c>
      <c r="AD19">
        <v>1.0237957994132416</v>
      </c>
      <c r="AE19">
        <v>0.9980528925382095</v>
      </c>
      <c r="AF19">
        <v>1.0390226794757178</v>
      </c>
      <c r="AG19">
        <v>1.0257189912212494</v>
      </c>
      <c r="AH19">
        <v>1.0465029367095138</v>
      </c>
      <c r="AI19">
        <v>1.0020667311402196</v>
      </c>
      <c r="AJ19" s="56">
        <f t="shared" si="8"/>
        <v>1.6003591638207304E-3</v>
      </c>
      <c r="AK19" s="56">
        <f t="shared" si="4"/>
        <v>9.247796961875332E-2</v>
      </c>
      <c r="AL19" s="56">
        <f t="shared" si="4"/>
        <v>-1.5347676592872173E-2</v>
      </c>
      <c r="AM19" s="56">
        <f t="shared" si="9"/>
        <v>3.1432985654119561E-2</v>
      </c>
      <c r="AN19" s="54">
        <f t="shared" si="10"/>
        <v>1.2318422090167758E-2</v>
      </c>
      <c r="AO19" s="54">
        <f t="shared" si="11"/>
        <v>3.0370589812678705E-2</v>
      </c>
      <c r="AP19" s="55">
        <f t="shared" si="12"/>
        <v>-2.230671860677913E-2</v>
      </c>
    </row>
    <row r="20" spans="4:42" x14ac:dyDescent="0.2">
      <c r="D20" s="31">
        <v>44652</v>
      </c>
      <c r="F20">
        <f>M20/M19</f>
        <v>1.0292334782367678</v>
      </c>
      <c r="G20">
        <f t="shared" si="5"/>
        <v>1.0370450452075235</v>
      </c>
      <c r="H20" s="30">
        <v>4.9444999999999997</v>
      </c>
      <c r="I20" s="30">
        <v>1.9482999999999999</v>
      </c>
      <c r="J20" s="30">
        <v>24.481501000000002</v>
      </c>
      <c r="K20" s="30">
        <v>4.6746999999999996</v>
      </c>
      <c r="L20" s="30">
        <v>7.4383999999999997</v>
      </c>
      <c r="M20" s="30">
        <v>377.67001299999998</v>
      </c>
      <c r="N20" s="30">
        <v>10.36021</v>
      </c>
      <c r="O20" s="30">
        <f t="shared" si="6"/>
        <v>1</v>
      </c>
      <c r="P20" s="30">
        <f t="shared" si="2"/>
        <v>1</v>
      </c>
      <c r="Q20" s="30">
        <f t="shared" si="2"/>
        <v>1.0028018564951546</v>
      </c>
      <c r="R20" s="30">
        <f t="shared" si="2"/>
        <v>1.0074198268635228</v>
      </c>
      <c r="S20" s="30">
        <f t="shared" si="2"/>
        <v>1.0001680751363089</v>
      </c>
      <c r="T20" s="30">
        <f t="shared" si="2"/>
        <v>1.0292334782367678</v>
      </c>
      <c r="U20" s="30">
        <f t="shared" si="2"/>
        <v>1.0034432126578503</v>
      </c>
      <c r="V20" s="44">
        <f t="shared" si="7"/>
        <v>1.0161323468968351</v>
      </c>
      <c r="W20" s="45">
        <f t="shared" si="3"/>
        <v>1</v>
      </c>
      <c r="X20" s="45">
        <f t="shared" si="3"/>
        <v>0.93392724870495125</v>
      </c>
      <c r="Y20" s="45">
        <f t="shared" si="3"/>
        <v>1.0209198258974297</v>
      </c>
      <c r="Z20" s="45">
        <f t="shared" si="3"/>
        <v>0.99971776090316478</v>
      </c>
      <c r="AA20" s="45">
        <f t="shared" si="3"/>
        <v>1.0370450452075235</v>
      </c>
      <c r="AB20" s="46">
        <f t="shared" si="3"/>
        <v>1.0279005853755334</v>
      </c>
      <c r="AC20">
        <v>1.0017656698116728</v>
      </c>
      <c r="AD20">
        <v>1.0260019455994556</v>
      </c>
      <c r="AE20">
        <v>0.99778870864489044</v>
      </c>
      <c r="AF20">
        <v>1.0432438859262994</v>
      </c>
      <c r="AG20">
        <v>1.0289987611063636</v>
      </c>
      <c r="AH20">
        <v>1.0509857258609769</v>
      </c>
      <c r="AI20">
        <v>1.0020087744652137</v>
      </c>
      <c r="AJ20" s="56">
        <f t="shared" si="8"/>
        <v>1.7656698116728098E-3</v>
      </c>
      <c r="AK20" s="56">
        <f t="shared" si="4"/>
        <v>9.2074696894504315E-2</v>
      </c>
      <c r="AL20" s="56">
        <f t="shared" si="4"/>
        <v>-2.3131117252539246E-2</v>
      </c>
      <c r="AM20" s="56">
        <f t="shared" si="9"/>
        <v>6.1988407187758554E-3</v>
      </c>
      <c r="AN20" s="54">
        <f t="shared" si="10"/>
        <v>8.0789352089338795E-3</v>
      </c>
      <c r="AO20" s="54">
        <f t="shared" si="11"/>
        <v>3.4853378964141868E-2</v>
      </c>
      <c r="AP20" s="55">
        <f t="shared" si="12"/>
        <v>-2.5891810910319668E-2</v>
      </c>
    </row>
    <row r="21" spans="4:42" x14ac:dyDescent="0.2">
      <c r="D21" s="31">
        <v>44682</v>
      </c>
      <c r="F21">
        <f>M21/M20</f>
        <v>1.0387798779248063</v>
      </c>
      <c r="G21">
        <f t="shared" si="5"/>
        <v>1.0772615254631965</v>
      </c>
      <c r="H21" s="30">
        <v>4.944</v>
      </c>
      <c r="I21" s="30">
        <v>1.9482999999999999</v>
      </c>
      <c r="J21" s="30">
        <v>24.583200000000001</v>
      </c>
      <c r="K21" s="30">
        <v>4.5835400000000002</v>
      </c>
      <c r="L21" s="30">
        <v>7.4393000000000002</v>
      </c>
      <c r="M21" s="30">
        <v>392.31601000000001</v>
      </c>
      <c r="N21" s="30">
        <v>10.49765</v>
      </c>
      <c r="O21" s="30">
        <f t="shared" si="6"/>
        <v>0.99989887754070184</v>
      </c>
      <c r="P21" s="30">
        <f t="shared" ref="P21:P40" si="13">I21/I20</f>
        <v>1</v>
      </c>
      <c r="Q21" s="30">
        <f t="shared" ref="Q21:Q40" si="14">J21/J20</f>
        <v>1.0041541162039043</v>
      </c>
      <c r="R21" s="30">
        <f t="shared" ref="R21:R40" si="15">K21/K20</f>
        <v>0.98049928337647352</v>
      </c>
      <c r="S21" s="30">
        <f t="shared" ref="S21:S40" si="16">L21/L20</f>
        <v>1.0001209937620994</v>
      </c>
      <c r="T21" s="30">
        <f t="shared" ref="T21:T40" si="17">M21/M20</f>
        <v>1.0387798779248063</v>
      </c>
      <c r="U21" s="30">
        <f t="shared" ref="U21:U40" si="18">N21/N20</f>
        <v>1.0132661403581587</v>
      </c>
      <c r="V21" s="44">
        <f t="shared" si="7"/>
        <v>1.0160295930949443</v>
      </c>
      <c r="W21" s="45">
        <f t="shared" ref="W21:W40" si="19">W20*P21</f>
        <v>1</v>
      </c>
      <c r="X21" s="45">
        <f t="shared" ref="X21:X40" si="20">X20*Q21</f>
        <v>0.93780689102206427</v>
      </c>
      <c r="Y21" s="45">
        <f t="shared" ref="Y21:Y40" si="21">Y20*R21</f>
        <v>1.001011157677264</v>
      </c>
      <c r="Z21" s="45">
        <f t="shared" ref="Z21:Z40" si="22">Z20*S21</f>
        <v>0.99983872051609401</v>
      </c>
      <c r="AA21" s="45">
        <f t="shared" ref="AA21:AA40" si="23">AA20*T21</f>
        <v>1.0772615254631965</v>
      </c>
      <c r="AB21" s="46">
        <f t="shared" ref="AB21:AB40" si="24">AB20*U21</f>
        <v>1.0415368588153586</v>
      </c>
      <c r="AC21">
        <v>1.0019630816026583</v>
      </c>
      <c r="AD21">
        <v>1.0281940470956905</v>
      </c>
      <c r="AE21">
        <v>0.99750942053210323</v>
      </c>
      <c r="AF21">
        <v>1.0476097444954484</v>
      </c>
      <c r="AG21">
        <v>1.0327946758635524</v>
      </c>
      <c r="AH21">
        <v>1.0554004839780184</v>
      </c>
      <c r="AI21">
        <v>1.0020828720167445</v>
      </c>
      <c r="AJ21" s="56">
        <f t="shared" si="8"/>
        <v>1.9630816026583453E-3</v>
      </c>
      <c r="AK21" s="56">
        <f t="shared" ref="AK21:AK39" si="25">-X21+AD21</f>
        <v>9.038715607362624E-2</v>
      </c>
      <c r="AL21" s="56">
        <f t="shared" ref="AL21:AL39" si="26">-Y21+AE21</f>
        <v>-3.5017371451607771E-3</v>
      </c>
      <c r="AM21" s="56">
        <f t="shared" si="9"/>
        <v>-2.965178096774812E-2</v>
      </c>
      <c r="AN21" s="54">
        <f t="shared" si="10"/>
        <v>3.178351818628844E-2</v>
      </c>
      <c r="AO21" s="54">
        <f t="shared" si="11"/>
        <v>3.9370890883074106E-2</v>
      </c>
      <c r="AP21" s="55">
        <f t="shared" si="12"/>
        <v>-3.9453986798614116E-2</v>
      </c>
    </row>
    <row r="22" spans="4:42" x14ac:dyDescent="0.2">
      <c r="D22" s="31">
        <v>44713</v>
      </c>
      <c r="F22">
        <f>M22/M21</f>
        <v>1.0034895032705904</v>
      </c>
      <c r="G22">
        <f t="shared" si="5"/>
        <v>1.0810206330795815</v>
      </c>
      <c r="H22" s="30">
        <v>4.9419000000000004</v>
      </c>
      <c r="I22" s="30">
        <v>1.9482999999999999</v>
      </c>
      <c r="J22" s="30">
        <v>24.729700000000001</v>
      </c>
      <c r="K22" s="30">
        <v>4.6654999999999998</v>
      </c>
      <c r="L22" s="30">
        <v>7.4393599999999998</v>
      </c>
      <c r="M22" s="30">
        <v>393.68499800000001</v>
      </c>
      <c r="N22" s="30">
        <v>10.68961</v>
      </c>
      <c r="O22" s="30">
        <f t="shared" si="6"/>
        <v>0.99957524271844667</v>
      </c>
      <c r="P22" s="30">
        <f t="shared" si="13"/>
        <v>1</v>
      </c>
      <c r="Q22" s="30">
        <f t="shared" si="14"/>
        <v>1.0059593543558203</v>
      </c>
      <c r="R22" s="30">
        <f t="shared" si="15"/>
        <v>1.0178813755307032</v>
      </c>
      <c r="S22" s="30">
        <f t="shared" si="16"/>
        <v>1.0000080652749586</v>
      </c>
      <c r="T22" s="30">
        <f t="shared" si="17"/>
        <v>1.0034895032705904</v>
      </c>
      <c r="U22" s="30">
        <f t="shared" si="18"/>
        <v>1.0182859973422622</v>
      </c>
      <c r="V22" s="44">
        <f t="shared" si="7"/>
        <v>1.0155980271270035</v>
      </c>
      <c r="W22" s="45">
        <f t="shared" si="19"/>
        <v>1</v>
      </c>
      <c r="X22" s="45">
        <f t="shared" si="20"/>
        <v>0.94339561460299493</v>
      </c>
      <c r="Y22" s="45">
        <f t="shared" si="21"/>
        <v>1.0189106140981152</v>
      </c>
      <c r="Z22" s="45">
        <f t="shared" si="22"/>
        <v>0.99984678449028919</v>
      </c>
      <c r="AA22" s="45">
        <f t="shared" si="23"/>
        <v>1.0810206330795815</v>
      </c>
      <c r="AB22" s="46">
        <f t="shared" si="24"/>
        <v>1.0605823990475245</v>
      </c>
      <c r="AC22">
        <v>1.0019055869670837</v>
      </c>
      <c r="AD22">
        <v>1.0306226071838207</v>
      </c>
      <c r="AE22">
        <v>0.99719005597129262</v>
      </c>
      <c r="AF22">
        <v>1.05222651394605</v>
      </c>
      <c r="AG22">
        <v>1.0368934900958366</v>
      </c>
      <c r="AH22">
        <v>1.0605775380961748</v>
      </c>
      <c r="AI22">
        <v>1.0021485436153617</v>
      </c>
      <c r="AJ22" s="56">
        <f t="shared" si="8"/>
        <v>1.9055869670836501E-3</v>
      </c>
      <c r="AK22" s="56">
        <f t="shared" si="25"/>
        <v>8.722699258082578E-2</v>
      </c>
      <c r="AL22" s="56">
        <f t="shared" si="26"/>
        <v>-2.1720558126822609E-2</v>
      </c>
      <c r="AM22" s="56">
        <f t="shared" si="9"/>
        <v>-2.8794119133531471E-2</v>
      </c>
      <c r="AN22" s="54">
        <f t="shared" si="10"/>
        <v>1.7982875997721415E-2</v>
      </c>
      <c r="AO22" s="54">
        <f t="shared" si="11"/>
        <v>4.4979510969171299E-2</v>
      </c>
      <c r="AP22" s="55">
        <f t="shared" si="12"/>
        <v>-5.843385543216284E-2</v>
      </c>
    </row>
    <row r="23" spans="4:42" x14ac:dyDescent="0.2">
      <c r="D23" s="31">
        <v>44743</v>
      </c>
      <c r="F23">
        <f>M23/M22</f>
        <v>1.0269276529556759</v>
      </c>
      <c r="G23">
        <f t="shared" si="5"/>
        <v>1.1101299815250736</v>
      </c>
      <c r="H23" s="30">
        <v>4.9340999999999999</v>
      </c>
      <c r="I23" s="30">
        <v>1.9482999999999999</v>
      </c>
      <c r="J23" s="30">
        <v>24.611401000000001</v>
      </c>
      <c r="K23" s="30">
        <v>4.73834</v>
      </c>
      <c r="L23" s="30">
        <v>7.4436</v>
      </c>
      <c r="M23" s="30">
        <v>404.28601099999997</v>
      </c>
      <c r="N23" s="30">
        <v>10.35228</v>
      </c>
      <c r="O23" s="30">
        <f t="shared" si="6"/>
        <v>0.99842165968554597</v>
      </c>
      <c r="P23" s="30">
        <f t="shared" si="13"/>
        <v>1</v>
      </c>
      <c r="Q23" s="30">
        <f t="shared" si="14"/>
        <v>0.9952163188392904</v>
      </c>
      <c r="R23" s="30">
        <f t="shared" si="15"/>
        <v>1.0156124745472084</v>
      </c>
      <c r="S23" s="30">
        <f t="shared" si="16"/>
        <v>1.0005699415003442</v>
      </c>
      <c r="T23" s="30">
        <f t="shared" si="17"/>
        <v>1.0269276529556759</v>
      </c>
      <c r="U23" s="30">
        <f t="shared" si="18"/>
        <v>0.96844318922767059</v>
      </c>
      <c r="V23" s="44">
        <f t="shared" si="7"/>
        <v>1.0139950678175089</v>
      </c>
      <c r="W23" s="45">
        <f t="shared" si="19"/>
        <v>1</v>
      </c>
      <c r="X23" s="45">
        <f t="shared" si="20"/>
        <v>0.9388827107743225</v>
      </c>
      <c r="Y23" s="45">
        <f t="shared" si="21"/>
        <v>1.0348183301266025</v>
      </c>
      <c r="Z23" s="45">
        <f t="shared" si="22"/>
        <v>1.0004166386667559</v>
      </c>
      <c r="AA23" s="45">
        <f t="shared" si="23"/>
        <v>1.1101299815250736</v>
      </c>
      <c r="AB23" s="46">
        <f t="shared" si="24"/>
        <v>1.0271138009723186</v>
      </c>
      <c r="AC23">
        <v>1.0015127976218423</v>
      </c>
      <c r="AD23">
        <v>1.0330028054206795</v>
      </c>
      <c r="AE23">
        <v>0.99685623262925682</v>
      </c>
      <c r="AF23">
        <v>1.0569939911753559</v>
      </c>
      <c r="AG23">
        <v>1.0409379488663719</v>
      </c>
      <c r="AH23">
        <v>1.0660304073712943</v>
      </c>
      <c r="AI23">
        <v>1.0018294540869928</v>
      </c>
      <c r="AJ23" s="56">
        <f t="shared" si="8"/>
        <v>1.51279762184231E-3</v>
      </c>
      <c r="AK23" s="56">
        <f t="shared" si="25"/>
        <v>9.4120094646356955E-2</v>
      </c>
      <c r="AL23" s="56">
        <f t="shared" si="26"/>
        <v>-3.7962097497345693E-2</v>
      </c>
      <c r="AM23" s="56">
        <f t="shared" si="9"/>
        <v>-5.3135990349717721E-2</v>
      </c>
      <c r="AN23" s="54">
        <f t="shared" si="10"/>
        <v>6.1196187397694057E-3</v>
      </c>
      <c r="AO23" s="54">
        <f t="shared" si="11"/>
        <v>5.2035339553785365E-2</v>
      </c>
      <c r="AP23" s="55">
        <f t="shared" si="12"/>
        <v>-2.5284346885325881E-2</v>
      </c>
    </row>
    <row r="24" spans="4:42" x14ac:dyDescent="0.2">
      <c r="D24" s="31">
        <v>44774</v>
      </c>
      <c r="F24">
        <f>M24/M23</f>
        <v>0.99465723784343363</v>
      </c>
      <c r="G24">
        <f t="shared" si="5"/>
        <v>1.1041988210709117</v>
      </c>
      <c r="H24" s="30">
        <v>4.8600000000000003</v>
      </c>
      <c r="I24" s="30">
        <v>1.9481999999999999</v>
      </c>
      <c r="J24" s="30">
        <v>24.541201000000001</v>
      </c>
      <c r="K24" s="30">
        <v>4.7221799999999998</v>
      </c>
      <c r="L24" s="30">
        <v>7.4371900000000002</v>
      </c>
      <c r="M24" s="30">
        <v>402.12600700000002</v>
      </c>
      <c r="N24" s="30">
        <v>10.69351</v>
      </c>
      <c r="O24" s="30">
        <f t="shared" si="6"/>
        <v>0.98498206359822471</v>
      </c>
      <c r="P24" s="30">
        <f t="shared" si="13"/>
        <v>0.99994867320227887</v>
      </c>
      <c r="Q24" s="30">
        <f t="shared" si="14"/>
        <v>0.99714766339388805</v>
      </c>
      <c r="R24" s="30">
        <f t="shared" si="15"/>
        <v>0.99658952291308767</v>
      </c>
      <c r="S24" s="30">
        <f t="shared" si="16"/>
        <v>0.99913885754204956</v>
      </c>
      <c r="T24" s="30">
        <f t="shared" si="17"/>
        <v>0.99465723784343363</v>
      </c>
      <c r="U24" s="30">
        <f t="shared" si="18"/>
        <v>1.0329618209708393</v>
      </c>
      <c r="V24" s="44">
        <f t="shared" si="7"/>
        <v>0.99876695437731178</v>
      </c>
      <c r="W24" s="45">
        <f t="shared" si="19"/>
        <v>0.99994867320227887</v>
      </c>
      <c r="X24" s="45">
        <f t="shared" si="20"/>
        <v>0.93620470124953525</v>
      </c>
      <c r="Y24" s="45">
        <f t="shared" si="21"/>
        <v>1.0312891059225888</v>
      </c>
      <c r="Z24" s="45">
        <f t="shared" si="22"/>
        <v>0.99955513742355995</v>
      </c>
      <c r="AA24" s="45">
        <f t="shared" si="23"/>
        <v>1.1041988210709117</v>
      </c>
      <c r="AB24" s="46">
        <f t="shared" si="24"/>
        <v>1.0609693421966464</v>
      </c>
      <c r="AC24">
        <v>1.0014636472365275</v>
      </c>
      <c r="AD24">
        <v>1.0350829202072169</v>
      </c>
      <c r="AE24">
        <v>0.99659501030334785</v>
      </c>
      <c r="AF24">
        <v>1.0625358659090196</v>
      </c>
      <c r="AG24">
        <v>1.0446601737062442</v>
      </c>
      <c r="AH24">
        <v>1.0722349492945602</v>
      </c>
      <c r="AI24">
        <v>1.0015176206358547</v>
      </c>
      <c r="AJ24" s="56">
        <f t="shared" si="8"/>
        <v>1.5149740342486062E-3</v>
      </c>
      <c r="AK24" s="56">
        <f t="shared" si="25"/>
        <v>9.8878218957681674E-2</v>
      </c>
      <c r="AL24" s="56">
        <f t="shared" si="26"/>
        <v>-3.4694095619240972E-2</v>
      </c>
      <c r="AM24" s="56">
        <f t="shared" si="9"/>
        <v>-4.1662955161892112E-2</v>
      </c>
      <c r="AN24" s="54">
        <f t="shared" si="10"/>
        <v>1.3371067783655377E-2</v>
      </c>
      <c r="AO24" s="54">
        <f t="shared" si="11"/>
        <v>7.3467994917248425E-2</v>
      </c>
      <c r="AP24" s="55">
        <f t="shared" si="12"/>
        <v>-5.9451721560791704E-2</v>
      </c>
    </row>
    <row r="25" spans="4:42" x14ac:dyDescent="0.2">
      <c r="D25" s="31">
        <v>44805</v>
      </c>
      <c r="F25">
        <f>M25/M24</f>
        <v>1.0469653433780521</v>
      </c>
      <c r="G25">
        <f t="shared" si="5"/>
        <v>1.1560578978601475</v>
      </c>
      <c r="H25" s="30">
        <v>4.9481000000000002</v>
      </c>
      <c r="I25" s="30">
        <v>1.9482999999999999</v>
      </c>
      <c r="J25" s="30">
        <v>24.477501</v>
      </c>
      <c r="K25" s="30">
        <v>4.8515300000000003</v>
      </c>
      <c r="L25" s="30">
        <v>7.4359099999999998</v>
      </c>
      <c r="M25" s="30">
        <v>421.01199300000002</v>
      </c>
      <c r="N25" s="30">
        <v>10.94661</v>
      </c>
      <c r="O25" s="30">
        <f t="shared" si="6"/>
        <v>1.0181275720164609</v>
      </c>
      <c r="P25" s="30">
        <f t="shared" si="13"/>
        <v>1.0000513294322966</v>
      </c>
      <c r="Q25" s="30">
        <f t="shared" si="14"/>
        <v>0.99740436501049801</v>
      </c>
      <c r="R25" s="30">
        <f t="shared" si="15"/>
        <v>1.0273920096226743</v>
      </c>
      <c r="S25" s="30">
        <f t="shared" si="16"/>
        <v>0.99982789198608613</v>
      </c>
      <c r="T25" s="30">
        <f t="shared" si="17"/>
        <v>1.0469653433780521</v>
      </c>
      <c r="U25" s="30">
        <f t="shared" si="18"/>
        <v>1.023668561585485</v>
      </c>
      <c r="V25" s="44">
        <f t="shared" si="7"/>
        <v>1.0168721742704478</v>
      </c>
      <c r="W25" s="45">
        <f t="shared" si="19"/>
        <v>1</v>
      </c>
      <c r="X25" s="45">
        <f t="shared" si="20"/>
        <v>0.93377465556963568</v>
      </c>
      <c r="Y25" s="45">
        <f t="shared" si="21"/>
        <v>1.0595381870357796</v>
      </c>
      <c r="Z25" s="45">
        <f t="shared" si="22"/>
        <v>0.99938310597406055</v>
      </c>
      <c r="AA25" s="45">
        <f t="shared" si="23"/>
        <v>1.1560578978601475</v>
      </c>
      <c r="AB25" s="46">
        <f t="shared" si="24"/>
        <v>1.0860809604127393</v>
      </c>
      <c r="AC25">
        <v>1.0014636472365275</v>
      </c>
      <c r="AD25">
        <v>1.0369777232886566</v>
      </c>
      <c r="AE25">
        <v>0.99621095428243789</v>
      </c>
      <c r="AF25">
        <v>1.0678963592181903</v>
      </c>
      <c r="AG25">
        <v>1.047977819735681</v>
      </c>
      <c r="AH25">
        <v>1.0776028629126073</v>
      </c>
      <c r="AI25">
        <v>1.0013207426956379</v>
      </c>
      <c r="AJ25" s="56">
        <f t="shared" si="8"/>
        <v>1.4636472365274766E-3</v>
      </c>
      <c r="AK25" s="56">
        <f t="shared" si="25"/>
        <v>0.10320306771902088</v>
      </c>
      <c r="AL25" s="56">
        <f t="shared" si="26"/>
        <v>-6.3327232753341733E-2</v>
      </c>
      <c r="AM25" s="56">
        <f t="shared" si="9"/>
        <v>-8.8161538641957193E-2</v>
      </c>
      <c r="AN25" s="54">
        <f t="shared" si="10"/>
        <v>-1.1560367300098573E-2</v>
      </c>
      <c r="AO25" s="54">
        <f t="shared" si="11"/>
        <v>6.0730688642159469E-2</v>
      </c>
      <c r="AP25" s="55">
        <f t="shared" si="12"/>
        <v>-8.4760217717101405E-2</v>
      </c>
    </row>
    <row r="26" spans="4:42" x14ac:dyDescent="0.2">
      <c r="D26" s="31">
        <v>44835</v>
      </c>
      <c r="F26">
        <f>M26/M25</f>
        <v>0.97584867137027143</v>
      </c>
      <c r="G26">
        <f t="shared" si="5"/>
        <v>1.1281375636539339</v>
      </c>
      <c r="H26" s="30">
        <v>4.9183000000000003</v>
      </c>
      <c r="I26" s="30">
        <v>1.9482999999999999</v>
      </c>
      <c r="J26" s="30">
        <v>24.498199</v>
      </c>
      <c r="K26" s="30">
        <v>4.7167500000000002</v>
      </c>
      <c r="L26" s="30">
        <v>7.4425100000000004</v>
      </c>
      <c r="M26" s="30">
        <v>410.84399400000001</v>
      </c>
      <c r="N26" s="30">
        <v>10.91573</v>
      </c>
      <c r="O26" s="30">
        <f t="shared" si="6"/>
        <v>0.99397748630787575</v>
      </c>
      <c r="P26" s="30">
        <f t="shared" si="13"/>
        <v>1</v>
      </c>
      <c r="Q26" s="30">
        <f t="shared" si="14"/>
        <v>1.0008455928568851</v>
      </c>
      <c r="R26" s="30">
        <f t="shared" si="15"/>
        <v>0.97221907315836442</v>
      </c>
      <c r="S26" s="30">
        <f t="shared" si="16"/>
        <v>1.0008875847071845</v>
      </c>
      <c r="T26" s="30">
        <f t="shared" si="17"/>
        <v>0.97584867137027143</v>
      </c>
      <c r="U26" s="30">
        <f t="shared" si="18"/>
        <v>0.99717903533605379</v>
      </c>
      <c r="V26" s="44">
        <f t="shared" si="7"/>
        <v>1.0107480476777639</v>
      </c>
      <c r="W26" s="45">
        <f t="shared" si="19"/>
        <v>1</v>
      </c>
      <c r="X26" s="45">
        <f t="shared" si="20"/>
        <v>0.93456424874832578</v>
      </c>
      <c r="Y26" s="45">
        <f t="shared" si="21"/>
        <v>1.0301032341758194</v>
      </c>
      <c r="Z26" s="45">
        <f t="shared" si="22"/>
        <v>1.0002701431355416</v>
      </c>
      <c r="AA26" s="45">
        <f t="shared" si="23"/>
        <v>1.1281375636539339</v>
      </c>
      <c r="AB26" s="46">
        <f t="shared" si="24"/>
        <v>1.0830171644012301</v>
      </c>
      <c r="AC26">
        <v>1.000843411687274</v>
      </c>
      <c r="AD26">
        <v>1.0387381658566988</v>
      </c>
      <c r="AE26">
        <v>0.99587863090411055</v>
      </c>
      <c r="AF26">
        <v>1.073474649929971</v>
      </c>
      <c r="AG26">
        <v>1.0510512970485002</v>
      </c>
      <c r="AH26">
        <v>1.0822685172461453</v>
      </c>
      <c r="AI26">
        <v>1.0008887181018373</v>
      </c>
      <c r="AJ26" s="56">
        <f t="shared" si="8"/>
        <v>8.4341168727397609E-4</v>
      </c>
      <c r="AK26" s="56">
        <f t="shared" si="25"/>
        <v>0.10417391710837298</v>
      </c>
      <c r="AL26" s="56">
        <f t="shared" si="26"/>
        <v>-3.4224603271708842E-2</v>
      </c>
      <c r="AM26" s="56">
        <f t="shared" si="9"/>
        <v>-5.4662913723962925E-2</v>
      </c>
      <c r="AN26" s="54">
        <f t="shared" si="10"/>
        <v>2.0948062872680806E-2</v>
      </c>
      <c r="AO26" s="54">
        <f t="shared" si="11"/>
        <v>7.1520469568381317E-2</v>
      </c>
      <c r="AP26" s="55">
        <f t="shared" si="12"/>
        <v>-8.2128446299392754E-2</v>
      </c>
    </row>
    <row r="27" spans="4:42" x14ac:dyDescent="0.2">
      <c r="D27" s="31">
        <v>44866</v>
      </c>
      <c r="F27">
        <f>M27/M26</f>
        <v>0.98781774816452594</v>
      </c>
      <c r="G27">
        <f t="shared" si="5"/>
        <v>1.1143943077484435</v>
      </c>
      <c r="H27" s="30">
        <v>4.9130000000000003</v>
      </c>
      <c r="I27" s="30">
        <v>1.9486000000000001</v>
      </c>
      <c r="J27" s="30">
        <v>24.336200999999999</v>
      </c>
      <c r="K27" s="30">
        <v>4.6735100000000003</v>
      </c>
      <c r="L27" s="30">
        <v>7.4364699999999999</v>
      </c>
      <c r="M27" s="30">
        <v>405.83898900000003</v>
      </c>
      <c r="N27" s="30">
        <v>10.93679</v>
      </c>
      <c r="O27" s="30">
        <f t="shared" si="6"/>
        <v>0.99892239188337428</v>
      </c>
      <c r="P27" s="30">
        <f t="shared" si="13"/>
        <v>1.0001539803931634</v>
      </c>
      <c r="Q27" s="30">
        <f t="shared" si="14"/>
        <v>0.99338735063748973</v>
      </c>
      <c r="R27" s="30">
        <f t="shared" si="15"/>
        <v>0.99083267080086923</v>
      </c>
      <c r="S27" s="30">
        <f t="shared" si="16"/>
        <v>0.999188445833462</v>
      </c>
      <c r="T27" s="30">
        <f t="shared" si="17"/>
        <v>0.98781774816452594</v>
      </c>
      <c r="U27" s="30">
        <f t="shared" si="18"/>
        <v>1.0019293258444466</v>
      </c>
      <c r="V27" s="44">
        <f t="shared" si="7"/>
        <v>1.0096588573777228</v>
      </c>
      <c r="W27" s="45">
        <f t="shared" si="19"/>
        <v>1.0001539803931634</v>
      </c>
      <c r="X27" s="45">
        <f t="shared" si="20"/>
        <v>0.92838430306461528</v>
      </c>
      <c r="Y27" s="45">
        <f t="shared" si="21"/>
        <v>1.0206599387190403</v>
      </c>
      <c r="Z27" s="45">
        <f t="shared" si="22"/>
        <v>0.99945836973321645</v>
      </c>
      <c r="AA27" s="45">
        <f t="shared" si="23"/>
        <v>1.1143943077484435</v>
      </c>
      <c r="AB27" s="46">
        <f t="shared" si="24"/>
        <v>1.0851066574064887</v>
      </c>
      <c r="AC27">
        <v>0.99990740670611733</v>
      </c>
      <c r="AD27">
        <v>1.0408325979269291</v>
      </c>
      <c r="AE27">
        <v>0.99555576500089493</v>
      </c>
      <c r="AF27">
        <v>1.0795768773677374</v>
      </c>
      <c r="AG27">
        <v>1.0550646876624148</v>
      </c>
      <c r="AH27">
        <v>1.0874950013069058</v>
      </c>
      <c r="AI27">
        <v>1.0002956493370683</v>
      </c>
      <c r="AJ27" s="56">
        <f t="shared" si="8"/>
        <v>-2.4657368704605886E-4</v>
      </c>
      <c r="AK27" s="56">
        <f t="shared" si="25"/>
        <v>0.11244829486231378</v>
      </c>
      <c r="AL27" s="56">
        <f t="shared" si="26"/>
        <v>-2.5104173718145328E-2</v>
      </c>
      <c r="AM27" s="56">
        <f t="shared" si="9"/>
        <v>-3.481743038070606E-2</v>
      </c>
      <c r="AN27" s="54">
        <f t="shared" si="10"/>
        <v>3.440474894337453E-2</v>
      </c>
      <c r="AO27" s="54">
        <f t="shared" si="11"/>
        <v>7.7836143929183033E-2</v>
      </c>
      <c r="AP27" s="55">
        <f t="shared" si="12"/>
        <v>-8.4811008069420435E-2</v>
      </c>
    </row>
    <row r="28" spans="4:42" x14ac:dyDescent="0.2">
      <c r="D28" s="31">
        <v>44896</v>
      </c>
      <c r="F28">
        <f>M28/M27</f>
        <v>0.98468116625433433</v>
      </c>
      <c r="G28">
        <f t="shared" si="5"/>
        <v>1.0973230866209289</v>
      </c>
      <c r="H28" s="30">
        <v>4.9454000000000002</v>
      </c>
      <c r="I28" s="30">
        <v>1.9482999999999999</v>
      </c>
      <c r="J28" s="30">
        <v>24.115299</v>
      </c>
      <c r="K28" s="30">
        <v>4.6951999999999998</v>
      </c>
      <c r="L28" s="30">
        <v>7.4345600000000003</v>
      </c>
      <c r="M28" s="30">
        <v>399.62200899999999</v>
      </c>
      <c r="N28" s="30">
        <v>11.1554</v>
      </c>
      <c r="O28" s="30">
        <f t="shared" si="6"/>
        <v>1.006594748626094</v>
      </c>
      <c r="P28" s="30">
        <f t="shared" si="13"/>
        <v>0.99984604331314786</v>
      </c>
      <c r="Q28" s="30">
        <f t="shared" si="14"/>
        <v>0.99092290534582617</v>
      </c>
      <c r="R28" s="30">
        <f t="shared" si="15"/>
        <v>1.004641051372523</v>
      </c>
      <c r="S28" s="30">
        <f t="shared" si="16"/>
        <v>0.99974315770789102</v>
      </c>
      <c r="T28" s="30">
        <f t="shared" si="17"/>
        <v>0.98468116625433433</v>
      </c>
      <c r="U28" s="30">
        <f t="shared" si="18"/>
        <v>1.0199884975390403</v>
      </c>
      <c r="V28" s="44">
        <f t="shared" si="7"/>
        <v>1.0163173037402382</v>
      </c>
      <c r="W28" s="45">
        <f t="shared" si="19"/>
        <v>1</v>
      </c>
      <c r="X28" s="45">
        <f t="shared" si="20"/>
        <v>0.91995727087024859</v>
      </c>
      <c r="Y28" s="45">
        <f t="shared" si="21"/>
        <v>1.0253968739285115</v>
      </c>
      <c r="Z28" s="45">
        <f t="shared" si="22"/>
        <v>0.99920166655466669</v>
      </c>
      <c r="AA28" s="45">
        <f t="shared" si="23"/>
        <v>1.0973230866209289</v>
      </c>
      <c r="AB28" s="46">
        <f t="shared" si="24"/>
        <v>1.1067963091576545</v>
      </c>
      <c r="AC28">
        <v>0.99910979916913556</v>
      </c>
      <c r="AD28">
        <v>1.042736483091524</v>
      </c>
      <c r="AE28">
        <v>0.99519197591110875</v>
      </c>
      <c r="AF28">
        <v>1.0846742296252623</v>
      </c>
      <c r="AG28">
        <v>1.0587631934072503</v>
      </c>
      <c r="AH28">
        <v>1.0916542735173931</v>
      </c>
      <c r="AI28">
        <v>0.99966114223457703</v>
      </c>
      <c r="AJ28" s="56">
        <f t="shared" si="8"/>
        <v>-8.9020083086444046E-4</v>
      </c>
      <c r="AK28" s="56">
        <f t="shared" si="25"/>
        <v>0.12277921222127541</v>
      </c>
      <c r="AL28" s="56">
        <f t="shared" si="26"/>
        <v>-3.0204898017402781E-2</v>
      </c>
      <c r="AM28" s="56">
        <f t="shared" si="9"/>
        <v>-1.2648856995666646E-2</v>
      </c>
      <c r="AN28" s="54">
        <f t="shared" si="10"/>
        <v>3.3366319478738804E-2</v>
      </c>
      <c r="AO28" s="54">
        <f t="shared" si="11"/>
        <v>7.5336969777154872E-2</v>
      </c>
      <c r="AP28" s="55">
        <f t="shared" si="12"/>
        <v>-0.10713516692307745</v>
      </c>
    </row>
    <row r="29" spans="4:42" x14ac:dyDescent="0.2">
      <c r="D29" s="31">
        <v>44927</v>
      </c>
      <c r="F29">
        <f>M29/M28</f>
        <v>0.9753191621635634</v>
      </c>
      <c r="G29">
        <f t="shared" si="5"/>
        <v>1.0702402334658596</v>
      </c>
      <c r="H29" s="30">
        <v>4.9101999999999997</v>
      </c>
      <c r="I29" s="30">
        <v>1.9448000000000001</v>
      </c>
      <c r="J29" s="30">
        <v>23.7836</v>
      </c>
      <c r="K29" s="30">
        <v>4.7086100000000002</v>
      </c>
      <c r="L29" s="30">
        <v>7.4382799999999998</v>
      </c>
      <c r="M29" s="30">
        <v>389.75900300000001</v>
      </c>
      <c r="N29" s="30">
        <v>11.27741</v>
      </c>
      <c r="O29" s="30">
        <f t="shared" si="6"/>
        <v>0.99288227443685029</v>
      </c>
      <c r="P29" s="30">
        <f t="shared" si="13"/>
        <v>0.99820356207976191</v>
      </c>
      <c r="Q29" s="30">
        <f t="shared" si="14"/>
        <v>0.98624528769060671</v>
      </c>
      <c r="R29" s="30">
        <f t="shared" si="15"/>
        <v>1.0028561083659908</v>
      </c>
      <c r="S29" s="30">
        <f t="shared" si="16"/>
        <v>1.0005003658589076</v>
      </c>
      <c r="T29" s="30">
        <f t="shared" si="17"/>
        <v>0.9753191621635634</v>
      </c>
      <c r="U29" s="30">
        <f t="shared" si="18"/>
        <v>1.0109373039066281</v>
      </c>
      <c r="V29" s="44">
        <f t="shared" si="7"/>
        <v>1.009083436087135</v>
      </c>
      <c r="W29" s="45">
        <f t="shared" si="19"/>
        <v>0.99820356207976191</v>
      </c>
      <c r="X29" s="45">
        <f t="shared" si="20"/>
        <v>0.90730352327249375</v>
      </c>
      <c r="Y29" s="45">
        <f t="shared" si="21"/>
        <v>1.0283255185185995</v>
      </c>
      <c r="Z29" s="45">
        <f t="shared" si="22"/>
        <v>0.99970163295477421</v>
      </c>
      <c r="AA29" s="45">
        <f t="shared" si="23"/>
        <v>1.0702402334658596</v>
      </c>
      <c r="AB29" s="46">
        <f t="shared" si="24"/>
        <v>1.1189016767536459</v>
      </c>
      <c r="AC29">
        <v>0.99829664893812187</v>
      </c>
      <c r="AD29">
        <v>1.0442950612802968</v>
      </c>
      <c r="AE29">
        <v>0.99473929146040552</v>
      </c>
      <c r="AF29">
        <v>1.0896276427737857</v>
      </c>
      <c r="AG29">
        <v>1.0619359070986396</v>
      </c>
      <c r="AH29">
        <v>1.095403683876039</v>
      </c>
      <c r="AI29">
        <v>0.99894556081117614</v>
      </c>
      <c r="AJ29" s="56">
        <f t="shared" si="8"/>
        <v>9.3086858359958669E-5</v>
      </c>
      <c r="AK29" s="56">
        <f t="shared" si="25"/>
        <v>0.13699153800780306</v>
      </c>
      <c r="AL29" s="56">
        <f t="shared" si="26"/>
        <v>-3.3586227058194029E-2</v>
      </c>
      <c r="AM29" s="56">
        <f t="shared" si="9"/>
        <v>1.938740930792604E-2</v>
      </c>
      <c r="AN29" s="54">
        <f t="shared" si="10"/>
        <v>3.3610388580040063E-2</v>
      </c>
      <c r="AO29" s="54">
        <f t="shared" si="11"/>
        <v>8.6320247788904014E-2</v>
      </c>
      <c r="AP29" s="55">
        <f t="shared" si="12"/>
        <v>-0.1199561159424698</v>
      </c>
    </row>
    <row r="30" spans="4:42" x14ac:dyDescent="0.2">
      <c r="D30" s="31">
        <v>44958</v>
      </c>
      <c r="F30">
        <f>M30/M29</f>
        <v>0.96871399786498325</v>
      </c>
      <c r="G30">
        <f t="shared" si="5"/>
        <v>1.0367566952366658</v>
      </c>
      <c r="H30" s="30">
        <v>4.9081400000000004</v>
      </c>
      <c r="I30" s="30">
        <v>1.9482999999999999</v>
      </c>
      <c r="J30" s="30">
        <v>23.624399</v>
      </c>
      <c r="K30" s="30">
        <v>4.7111999999999998</v>
      </c>
      <c r="L30" s="30">
        <v>7.4429600000000002</v>
      </c>
      <c r="M30" s="30">
        <v>377.56500199999999</v>
      </c>
      <c r="N30" s="30">
        <v>11.016500000000001</v>
      </c>
      <c r="O30" s="30">
        <f t="shared" si="6"/>
        <v>0.99958046515416898</v>
      </c>
      <c r="P30" s="30">
        <f t="shared" si="13"/>
        <v>1.0017996709173178</v>
      </c>
      <c r="Q30" s="30">
        <f t="shared" si="14"/>
        <v>0.99330626986663084</v>
      </c>
      <c r="R30" s="30">
        <f t="shared" si="15"/>
        <v>1.0005500561736902</v>
      </c>
      <c r="S30" s="30">
        <f t="shared" si="16"/>
        <v>1.0006291777131273</v>
      </c>
      <c r="T30" s="30">
        <f t="shared" si="17"/>
        <v>0.96871399786498325</v>
      </c>
      <c r="U30" s="30">
        <f t="shared" si="18"/>
        <v>0.97686436868039739</v>
      </c>
      <c r="V30" s="44">
        <f t="shared" si="7"/>
        <v>1.0086600904233456</v>
      </c>
      <c r="W30" s="45">
        <f t="shared" si="19"/>
        <v>0.99999999999999989</v>
      </c>
      <c r="X30" s="45">
        <f t="shared" si="20"/>
        <v>0.90123027833865266</v>
      </c>
      <c r="Y30" s="45">
        <f t="shared" si="21"/>
        <v>1.028891155318624</v>
      </c>
      <c r="Z30" s="45">
        <f t="shared" si="22"/>
        <v>1.0003306229420064</v>
      </c>
      <c r="AA30" s="45">
        <f t="shared" si="23"/>
        <v>1.0367566952366658</v>
      </c>
      <c r="AB30" s="46">
        <f t="shared" si="24"/>
        <v>1.0930151800773884</v>
      </c>
      <c r="AC30">
        <v>0.99742760714531598</v>
      </c>
      <c r="AD30">
        <v>1.0455967120133327</v>
      </c>
      <c r="AE30">
        <v>0.99434376652923129</v>
      </c>
      <c r="AF30">
        <v>1.0938084214221613</v>
      </c>
      <c r="AG30">
        <v>1.06456530396285</v>
      </c>
      <c r="AH30">
        <v>1.0987869347128487</v>
      </c>
      <c r="AI30">
        <v>0.99826358316682073</v>
      </c>
      <c r="AJ30" s="56">
        <f t="shared" si="8"/>
        <v>-2.5723928546839137E-3</v>
      </c>
      <c r="AK30" s="56">
        <f t="shared" si="25"/>
        <v>0.14436643367468005</v>
      </c>
      <c r="AL30" s="56">
        <f t="shared" si="26"/>
        <v>-3.4547388789392675E-2</v>
      </c>
      <c r="AM30" s="56">
        <f t="shared" si="9"/>
        <v>5.7051726185495477E-2</v>
      </c>
      <c r="AN30" s="54">
        <f t="shared" si="10"/>
        <v>3.5674148644226022E-2</v>
      </c>
      <c r="AO30" s="54">
        <f t="shared" si="11"/>
        <v>9.0126844289503127E-2</v>
      </c>
      <c r="AP30" s="55">
        <f t="shared" si="12"/>
        <v>-9.475159691056767E-2</v>
      </c>
    </row>
    <row r="31" spans="4:42" x14ac:dyDescent="0.2">
      <c r="D31" s="31">
        <v>44986</v>
      </c>
      <c r="F31">
        <f>M31/M30</f>
        <v>1.0060042614860791</v>
      </c>
      <c r="G31">
        <f t="shared" si="5"/>
        <v>1.04298165353231</v>
      </c>
      <c r="H31" s="30">
        <v>4.9390499999999999</v>
      </c>
      <c r="I31" s="30">
        <v>1.9482999999999999</v>
      </c>
      <c r="J31" s="30">
        <v>23.5123</v>
      </c>
      <c r="K31" s="30">
        <v>4.6708999999999996</v>
      </c>
      <c r="L31" s="30">
        <v>7.4482999999999997</v>
      </c>
      <c r="M31" s="30">
        <v>379.83200099999999</v>
      </c>
      <c r="N31" s="30">
        <v>11.292350000000001</v>
      </c>
      <c r="O31" s="30">
        <f t="shared" si="6"/>
        <v>1.0062977013695615</v>
      </c>
      <c r="P31" s="30">
        <f t="shared" si="13"/>
        <v>1</v>
      </c>
      <c r="Q31" s="30">
        <f t="shared" si="14"/>
        <v>0.99525494807296466</v>
      </c>
      <c r="R31" s="30">
        <f t="shared" si="15"/>
        <v>0.99144591611479027</v>
      </c>
      <c r="S31" s="30">
        <f t="shared" si="16"/>
        <v>1.0007174564958026</v>
      </c>
      <c r="T31" s="30">
        <f t="shared" si="17"/>
        <v>1.0060042614860791</v>
      </c>
      <c r="U31" s="30">
        <f t="shared" si="18"/>
        <v>1.0250397131575364</v>
      </c>
      <c r="V31" s="44">
        <f t="shared" si="7"/>
        <v>1.0150123304562269</v>
      </c>
      <c r="W31" s="45">
        <f t="shared" si="19"/>
        <v>0.99999999999999989</v>
      </c>
      <c r="X31" s="45">
        <f t="shared" si="20"/>
        <v>0.89695389386971924</v>
      </c>
      <c r="Y31" s="45">
        <f t="shared" si="21"/>
        <v>1.020089934067278</v>
      </c>
      <c r="Z31" s="45">
        <f t="shared" si="22"/>
        <v>1.0010483166453863</v>
      </c>
      <c r="AA31" s="45">
        <f t="shared" si="23"/>
        <v>1.04298165353231</v>
      </c>
      <c r="AB31" s="46">
        <f t="shared" si="24"/>
        <v>1.1203839666633593</v>
      </c>
      <c r="AC31">
        <v>0.99715300477215618</v>
      </c>
      <c r="AD31">
        <v>1.0468897621484774</v>
      </c>
      <c r="AE31">
        <v>0.99392474851192081</v>
      </c>
      <c r="AF31">
        <v>1.098270229071989</v>
      </c>
      <c r="AG31">
        <v>1.0672058029611431</v>
      </c>
      <c r="AH31">
        <v>1.1026128091740648</v>
      </c>
      <c r="AI31">
        <v>0.99769684118760671</v>
      </c>
      <c r="AJ31" s="56">
        <f t="shared" si="8"/>
        <v>-2.8469952278437072E-3</v>
      </c>
      <c r="AK31" s="56">
        <f t="shared" si="25"/>
        <v>0.14993586827875816</v>
      </c>
      <c r="AL31" s="56">
        <f t="shared" si="26"/>
        <v>-2.6165185555357184E-2</v>
      </c>
      <c r="AM31" s="56">
        <f t="shared" si="9"/>
        <v>5.528857553967903E-2</v>
      </c>
      <c r="AN31" s="54">
        <f t="shared" si="10"/>
        <v>4.7115868893865098E-2</v>
      </c>
      <c r="AO31" s="54">
        <f t="shared" si="11"/>
        <v>8.7600478717837937E-2</v>
      </c>
      <c r="AP31" s="55">
        <f t="shared" si="12"/>
        <v>-0.12268712547575256</v>
      </c>
    </row>
    <row r="32" spans="4:42" x14ac:dyDescent="0.2">
      <c r="D32" s="31">
        <v>45017</v>
      </c>
      <c r="F32">
        <f>M32/M31</f>
        <v>0.98185513863535689</v>
      </c>
      <c r="G32">
        <f t="shared" si="5"/>
        <v>1.0240568960231</v>
      </c>
      <c r="H32" s="30">
        <v>4.9288299999999996</v>
      </c>
      <c r="I32" s="30">
        <v>1.9492</v>
      </c>
      <c r="J32" s="30">
        <v>23.471499999999999</v>
      </c>
      <c r="K32" s="30">
        <v>4.6281999999999996</v>
      </c>
      <c r="L32" s="30">
        <v>7.4577</v>
      </c>
      <c r="M32" s="30">
        <v>372.94000199999999</v>
      </c>
      <c r="N32" s="30">
        <v>11.307499999999999</v>
      </c>
      <c r="O32" s="30">
        <f t="shared" si="6"/>
        <v>0.99793077616140746</v>
      </c>
      <c r="P32" s="30">
        <f t="shared" si="13"/>
        <v>1.0004619411794899</v>
      </c>
      <c r="Q32" s="30">
        <f t="shared" si="14"/>
        <v>0.99826473803073279</v>
      </c>
      <c r="R32" s="30">
        <f t="shared" si="15"/>
        <v>0.99085829283435745</v>
      </c>
      <c r="S32" s="30">
        <f t="shared" si="16"/>
        <v>1.0012620329471156</v>
      </c>
      <c r="T32" s="30">
        <f t="shared" si="17"/>
        <v>0.98185513863535689</v>
      </c>
      <c r="U32" s="30">
        <f t="shared" si="18"/>
        <v>1.0013416162269146</v>
      </c>
      <c r="V32" s="44">
        <f t="shared" si="7"/>
        <v>1.0129120427455816</v>
      </c>
      <c r="W32" s="45">
        <f t="shared" si="19"/>
        <v>1.0004619411794897</v>
      </c>
      <c r="X32" s="45">
        <f t="shared" si="20"/>
        <v>0.89539744388950093</v>
      </c>
      <c r="Y32" s="45">
        <f t="shared" si="21"/>
        <v>1.0107645706074153</v>
      </c>
      <c r="Z32" s="45">
        <f t="shared" si="22"/>
        <v>1.0023116726026473</v>
      </c>
      <c r="AA32" s="45">
        <f t="shared" si="23"/>
        <v>1.0240568960231</v>
      </c>
      <c r="AB32" s="46">
        <f t="shared" si="24"/>
        <v>1.1218870919734099</v>
      </c>
      <c r="AC32">
        <v>0.99804325321792853</v>
      </c>
      <c r="AD32">
        <v>1.0482090765145797</v>
      </c>
      <c r="AE32">
        <v>0.99348181302408212</v>
      </c>
      <c r="AF32">
        <v>1.1029863570068943</v>
      </c>
      <c r="AG32">
        <v>1.0697933146318521</v>
      </c>
      <c r="AH32">
        <v>1.1061158117688752</v>
      </c>
      <c r="AI32">
        <v>0.99709000386567792</v>
      </c>
      <c r="AJ32" s="56">
        <f t="shared" si="8"/>
        <v>-2.4186879615611945E-3</v>
      </c>
      <c r="AK32" s="56">
        <f t="shared" si="25"/>
        <v>0.1528116326250788</v>
      </c>
      <c r="AL32" s="56">
        <f t="shared" si="26"/>
        <v>-1.7282757583333197E-2</v>
      </c>
      <c r="AM32" s="56">
        <f t="shared" si="9"/>
        <v>7.8929460983794275E-2</v>
      </c>
      <c r="AN32" s="54">
        <f t="shared" si="10"/>
        <v>5.9028744024436808E-2</v>
      </c>
      <c r="AO32" s="54">
        <f t="shared" si="11"/>
        <v>9.3203769023293637E-2</v>
      </c>
      <c r="AP32" s="55">
        <f t="shared" si="12"/>
        <v>-0.12479708810773193</v>
      </c>
    </row>
    <row r="33" spans="4:42" x14ac:dyDescent="0.2">
      <c r="D33" s="31">
        <v>45047</v>
      </c>
      <c r="F33">
        <f>M33/M32</f>
        <v>0.99200139168766344</v>
      </c>
      <c r="G33">
        <f t="shared" si="5"/>
        <v>1.0158658660222641</v>
      </c>
      <c r="H33" s="30">
        <v>4.9618599999999997</v>
      </c>
      <c r="I33" s="30">
        <v>1.9481999999999999</v>
      </c>
      <c r="J33" s="30">
        <v>23.6859</v>
      </c>
      <c r="K33" s="30">
        <v>4.5352899999999998</v>
      </c>
      <c r="L33" s="30">
        <v>7.4468800000000002</v>
      </c>
      <c r="M33" s="30">
        <v>369.95700099999999</v>
      </c>
      <c r="N33" s="30">
        <v>11.655799999999999</v>
      </c>
      <c r="O33" s="30">
        <f t="shared" si="6"/>
        <v>1.0067013875503923</v>
      </c>
      <c r="P33" s="30">
        <f t="shared" si="13"/>
        <v>0.99948696901292833</v>
      </c>
      <c r="Q33" s="30">
        <f t="shared" si="14"/>
        <v>1.0091344822444241</v>
      </c>
      <c r="R33" s="30">
        <f t="shared" si="15"/>
        <v>0.97992524091439437</v>
      </c>
      <c r="S33" s="30">
        <f t="shared" si="16"/>
        <v>0.99854915054239246</v>
      </c>
      <c r="T33" s="30">
        <f t="shared" si="17"/>
        <v>0.99200139168766344</v>
      </c>
      <c r="U33" s="30">
        <f t="shared" si="18"/>
        <v>1.0308025646694672</v>
      </c>
      <c r="V33" s="44">
        <f t="shared" si="7"/>
        <v>1.0196999588984792</v>
      </c>
      <c r="W33" s="45">
        <f t="shared" si="19"/>
        <v>0.99994867320227876</v>
      </c>
      <c r="X33" s="45">
        <f t="shared" si="20"/>
        <v>0.90357643594241233</v>
      </c>
      <c r="Y33" s="45">
        <f t="shared" si="21"/>
        <v>0.99047371536020579</v>
      </c>
      <c r="Z33" s="45">
        <f t="shared" si="22"/>
        <v>1.0008574692560981</v>
      </c>
      <c r="AA33" s="45">
        <f t="shared" si="23"/>
        <v>1.0158658660222641</v>
      </c>
      <c r="AB33" s="46">
        <f t="shared" si="24"/>
        <v>1.1564440916757612</v>
      </c>
      <c r="AC33">
        <v>0.99880654346584397</v>
      </c>
      <c r="AD33">
        <v>1.0495303080449059</v>
      </c>
      <c r="AE33">
        <v>0.99309546902107115</v>
      </c>
      <c r="AF33">
        <v>1.1075789233950919</v>
      </c>
      <c r="AG33">
        <v>1.0723454814827142</v>
      </c>
      <c r="AH33">
        <v>1.1095615056011585</v>
      </c>
      <c r="AI33">
        <v>0.99651587156775601</v>
      </c>
      <c r="AJ33" s="56">
        <f t="shared" si="8"/>
        <v>-1.1421297364347938E-3</v>
      </c>
      <c r="AK33" s="56">
        <f t="shared" si="25"/>
        <v>0.14595387210249355</v>
      </c>
      <c r="AL33" s="56">
        <f t="shared" si="26"/>
        <v>2.6217536608653669E-3</v>
      </c>
      <c r="AM33" s="56">
        <f t="shared" si="9"/>
        <v>9.1713057372827755E-2</v>
      </c>
      <c r="AN33" s="54">
        <f t="shared" si="10"/>
        <v>8.187176612250846E-2</v>
      </c>
      <c r="AO33" s="54">
        <f t="shared" si="11"/>
        <v>8.9861546702679318E-2</v>
      </c>
      <c r="AP33" s="55">
        <f t="shared" si="12"/>
        <v>-0.15992822010800523</v>
      </c>
    </row>
    <row r="34" spans="4:42" x14ac:dyDescent="0.2">
      <c r="D34" s="31">
        <v>45078</v>
      </c>
      <c r="F34">
        <f>M34/M33</f>
        <v>1.0027219055113923</v>
      </c>
      <c r="G34">
        <f t="shared" si="5"/>
        <v>1.0186309569218255</v>
      </c>
      <c r="H34" s="30">
        <v>4.9583899999999996</v>
      </c>
      <c r="I34" s="30">
        <v>1.9482999999999999</v>
      </c>
      <c r="J34" s="30">
        <v>23.67</v>
      </c>
      <c r="K34" s="30">
        <v>4.4421999999999997</v>
      </c>
      <c r="L34" s="30">
        <v>7.4464300000000003</v>
      </c>
      <c r="M34" s="30">
        <v>370.96398900000003</v>
      </c>
      <c r="N34" s="30">
        <v>11.8032</v>
      </c>
      <c r="O34" s="30">
        <f t="shared" si="6"/>
        <v>0.99930066547625285</v>
      </c>
      <c r="P34" s="30">
        <f t="shared" si="13"/>
        <v>1.0000513294322966</v>
      </c>
      <c r="Q34" s="30">
        <f t="shared" si="14"/>
        <v>0.99932871455169536</v>
      </c>
      <c r="R34" s="30">
        <f t="shared" si="15"/>
        <v>0.97947430043062289</v>
      </c>
      <c r="S34" s="30">
        <f t="shared" si="16"/>
        <v>0.99993957200868022</v>
      </c>
      <c r="T34" s="30">
        <f t="shared" si="17"/>
        <v>1.0027219055113923</v>
      </c>
      <c r="U34" s="30">
        <f t="shared" si="18"/>
        <v>1.0126460646201891</v>
      </c>
      <c r="V34" s="44">
        <f t="shared" si="7"/>
        <v>1.0189868475133579</v>
      </c>
      <c r="W34" s="45">
        <f t="shared" si="19"/>
        <v>1</v>
      </c>
      <c r="X34" s="45">
        <f t="shared" si="20"/>
        <v>0.90296987822953323</v>
      </c>
      <c r="Y34" s="45">
        <f t="shared" si="21"/>
        <v>0.97014354944735748</v>
      </c>
      <c r="Z34" s="45">
        <f t="shared" si="22"/>
        <v>1.0007969894496336</v>
      </c>
      <c r="AA34" s="45">
        <f t="shared" si="23"/>
        <v>1.0186309569218255</v>
      </c>
      <c r="AB34" s="46">
        <f t="shared" si="24"/>
        <v>1.1710685583887288</v>
      </c>
      <c r="AC34">
        <v>0.99956233702972586</v>
      </c>
      <c r="AD34">
        <v>1.0507191084456797</v>
      </c>
      <c r="AE34">
        <v>0.992652860060243</v>
      </c>
      <c r="AF34">
        <v>1.1116928678184854</v>
      </c>
      <c r="AG34">
        <v>1.0747767479531332</v>
      </c>
      <c r="AH34">
        <v>1.1124003280676384</v>
      </c>
      <c r="AI34">
        <v>0.99589347314039611</v>
      </c>
      <c r="AJ34" s="56">
        <f t="shared" si="8"/>
        <v>-4.3766297027414414E-4</v>
      </c>
      <c r="AK34" s="56">
        <f t="shared" si="25"/>
        <v>0.1477492302161465</v>
      </c>
      <c r="AL34" s="56">
        <f t="shared" si="26"/>
        <v>2.2509310612885525E-2</v>
      </c>
      <c r="AM34" s="56">
        <f t="shared" si="9"/>
        <v>9.3061910896659938E-2</v>
      </c>
      <c r="AN34" s="54">
        <f t="shared" si="10"/>
        <v>0.10463319850577568</v>
      </c>
      <c r="AO34" s="54">
        <f t="shared" si="11"/>
        <v>9.3413480554280559E-2</v>
      </c>
      <c r="AP34" s="55">
        <f t="shared" si="12"/>
        <v>-0.1751750852483327</v>
      </c>
    </row>
    <row r="35" spans="4:42" x14ac:dyDescent="0.2">
      <c r="D35" s="31">
        <v>45108</v>
      </c>
      <c r="F35">
        <f>M35/M34</f>
        <v>1.0356962006897115</v>
      </c>
      <c r="G35">
        <f t="shared" si="5"/>
        <v>1.0549922119888597</v>
      </c>
      <c r="H35" s="30">
        <v>4.9307600000000003</v>
      </c>
      <c r="I35" s="30">
        <v>1.9458</v>
      </c>
      <c r="J35" s="30">
        <v>23.9636</v>
      </c>
      <c r="K35" s="30">
        <v>4.4120699999999999</v>
      </c>
      <c r="L35" s="30">
        <v>7.4515099999999999</v>
      </c>
      <c r="M35" s="30">
        <v>384.20599399999998</v>
      </c>
      <c r="N35" s="30">
        <v>11.6088</v>
      </c>
      <c r="O35" s="30">
        <f t="shared" si="6"/>
        <v>0.99442762670947638</v>
      </c>
      <c r="P35" s="30">
        <f t="shared" si="13"/>
        <v>0.99871683005697276</v>
      </c>
      <c r="Q35" s="30">
        <f t="shared" si="14"/>
        <v>1.0124038867765102</v>
      </c>
      <c r="R35" s="30">
        <f t="shared" si="15"/>
        <v>0.99321732474899826</v>
      </c>
      <c r="S35" s="30">
        <f t="shared" si="16"/>
        <v>1.0006822061041332</v>
      </c>
      <c r="T35" s="30">
        <f t="shared" si="17"/>
        <v>1.0356962006897115</v>
      </c>
      <c r="U35" s="30">
        <f t="shared" si="18"/>
        <v>0.98352989019926795</v>
      </c>
      <c r="V35" s="44">
        <f t="shared" si="7"/>
        <v>1.0133086724208795</v>
      </c>
      <c r="W35" s="45">
        <f t="shared" si="19"/>
        <v>0.99871683005697276</v>
      </c>
      <c r="X35" s="45">
        <f t="shared" si="20"/>
        <v>0.91417021436169155</v>
      </c>
      <c r="Y35" s="45">
        <f t="shared" si="21"/>
        <v>0.96356338080460191</v>
      </c>
      <c r="Z35" s="45">
        <f t="shared" si="22"/>
        <v>1.0014797392648342</v>
      </c>
      <c r="AA35" s="45">
        <f t="shared" si="23"/>
        <v>1.0549922119888597</v>
      </c>
      <c r="AB35" s="46">
        <f t="shared" si="24"/>
        <v>1.1517809306478815</v>
      </c>
      <c r="AC35">
        <v>1.0003510538111675</v>
      </c>
      <c r="AD35">
        <v>1.051817361804569</v>
      </c>
      <c r="AE35">
        <v>0.99226672579968478</v>
      </c>
      <c r="AF35">
        <v>1.1153565409313715</v>
      </c>
      <c r="AG35">
        <v>1.077231414332356</v>
      </c>
      <c r="AH35">
        <v>1.1151162248449342</v>
      </c>
      <c r="AI35">
        <v>0.99541706630549642</v>
      </c>
      <c r="AJ35" s="56">
        <f t="shared" si="8"/>
        <v>1.6342237541947524E-3</v>
      </c>
      <c r="AK35" s="56">
        <f t="shared" si="25"/>
        <v>0.13764714744287743</v>
      </c>
      <c r="AL35" s="56">
        <f t="shared" si="26"/>
        <v>2.8703344995082869E-2</v>
      </c>
      <c r="AM35" s="56">
        <f t="shared" si="9"/>
        <v>6.0364328942511758E-2</v>
      </c>
      <c r="AN35" s="54">
        <f t="shared" si="10"/>
        <v>0.11366803352775412</v>
      </c>
      <c r="AO35" s="54">
        <f t="shared" si="11"/>
        <v>0.1018075524240547</v>
      </c>
      <c r="AP35" s="55">
        <f t="shared" si="12"/>
        <v>-0.15636386434238503</v>
      </c>
    </row>
    <row r="36" spans="4:42" x14ac:dyDescent="0.2">
      <c r="D36" s="31">
        <v>45139</v>
      </c>
      <c r="F36">
        <f>M36/M35</f>
        <v>0.98718400785803473</v>
      </c>
      <c r="G36">
        <f t="shared" si="5"/>
        <v>1.0414714400901759</v>
      </c>
      <c r="H36" s="30">
        <v>4.9401400000000004</v>
      </c>
      <c r="I36" s="30">
        <v>1.9482999999999999</v>
      </c>
      <c r="J36" s="30">
        <v>24.063600999999998</v>
      </c>
      <c r="K36" s="30">
        <v>4.4676499999999999</v>
      </c>
      <c r="L36" s="30">
        <v>7.4519599999999997</v>
      </c>
      <c r="M36" s="30">
        <v>379.28201300000001</v>
      </c>
      <c r="N36" s="30">
        <v>11.84085</v>
      </c>
      <c r="O36" s="30">
        <f t="shared" si="6"/>
        <v>1.0019023436549335</v>
      </c>
      <c r="P36" s="30">
        <f t="shared" si="13"/>
        <v>1.0012848185836161</v>
      </c>
      <c r="Q36" s="30">
        <f t="shared" si="14"/>
        <v>1.0041730374401174</v>
      </c>
      <c r="R36" s="30">
        <f t="shared" si="15"/>
        <v>1.0125972616028305</v>
      </c>
      <c r="S36" s="30">
        <f t="shared" si="16"/>
        <v>1.0000603904443528</v>
      </c>
      <c r="T36" s="30">
        <f t="shared" si="17"/>
        <v>0.98718400785803473</v>
      </c>
      <c r="U36" s="30">
        <f t="shared" si="18"/>
        <v>1.0199891461649782</v>
      </c>
      <c r="V36" s="44">
        <f t="shared" si="7"/>
        <v>1.0152363337443484</v>
      </c>
      <c r="W36" s="45">
        <f t="shared" si="19"/>
        <v>1</v>
      </c>
      <c r="X36" s="45">
        <f t="shared" si="20"/>
        <v>0.91798508089286301</v>
      </c>
      <c r="Y36" s="45">
        <f t="shared" si="21"/>
        <v>0.9757016407835053</v>
      </c>
      <c r="Z36" s="45">
        <f t="shared" si="22"/>
        <v>1.0015402190712988</v>
      </c>
      <c r="AA36" s="45">
        <f t="shared" si="23"/>
        <v>1.0414714400901759</v>
      </c>
      <c r="AB36" s="46">
        <f t="shared" si="24"/>
        <v>1.1748040480206365</v>
      </c>
      <c r="AC36">
        <v>1.001067564185933</v>
      </c>
      <c r="AD36">
        <v>1.052671861466556</v>
      </c>
      <c r="AE36">
        <v>0.99191327954578357</v>
      </c>
      <c r="AF36">
        <v>1.11886386274649</v>
      </c>
      <c r="AG36">
        <v>1.0792983341876119</v>
      </c>
      <c r="AH36">
        <v>1.1178364082750134</v>
      </c>
      <c r="AI36">
        <v>0.99491704569629824</v>
      </c>
      <c r="AJ36" s="56">
        <f t="shared" si="8"/>
        <v>1.0675641859330121E-3</v>
      </c>
      <c r="AK36" s="56">
        <f t="shared" si="25"/>
        <v>0.13468678057369299</v>
      </c>
      <c r="AL36" s="56">
        <f t="shared" si="26"/>
        <v>1.6211638762278269E-2</v>
      </c>
      <c r="AM36" s="56">
        <f t="shared" si="9"/>
        <v>7.7392422656314075E-2</v>
      </c>
      <c r="AN36" s="54">
        <f t="shared" si="10"/>
        <v>0.1035966934041066</v>
      </c>
      <c r="AO36" s="54">
        <f t="shared" si="11"/>
        <v>0.102600074530665</v>
      </c>
      <c r="AP36" s="55">
        <f t="shared" si="12"/>
        <v>-0.1798870023243383</v>
      </c>
    </row>
    <row r="37" spans="4:42" x14ac:dyDescent="0.2">
      <c r="D37" s="31">
        <v>45170</v>
      </c>
      <c r="F37">
        <f>M37/M36</f>
        <v>1.0261731420414075</v>
      </c>
      <c r="G37">
        <f t="shared" si="5"/>
        <v>1.0687300200237253</v>
      </c>
      <c r="H37" s="30">
        <v>4.97</v>
      </c>
      <c r="I37" s="30">
        <v>1.9483999999999999</v>
      </c>
      <c r="J37" s="30">
        <v>24.372699999999998</v>
      </c>
      <c r="K37" s="30">
        <v>4.6276000000000002</v>
      </c>
      <c r="L37" s="30">
        <v>7.4574999999999996</v>
      </c>
      <c r="M37" s="30">
        <v>389.20901500000002</v>
      </c>
      <c r="N37" s="30">
        <v>11.537100000000001</v>
      </c>
      <c r="O37" s="30">
        <f t="shared" si="6"/>
        <v>1.0060443631152152</v>
      </c>
      <c r="P37" s="30">
        <f t="shared" si="13"/>
        <v>1.0000513267977211</v>
      </c>
      <c r="Q37" s="30">
        <f t="shared" si="14"/>
        <v>1.0128450849895658</v>
      </c>
      <c r="R37" s="30">
        <f t="shared" si="15"/>
        <v>1.0358018197486374</v>
      </c>
      <c r="S37" s="30">
        <f t="shared" si="16"/>
        <v>1.0007434285744958</v>
      </c>
      <c r="T37" s="30">
        <f t="shared" si="17"/>
        <v>1.0261731420414075</v>
      </c>
      <c r="U37" s="30">
        <f t="shared" si="18"/>
        <v>0.97434728081176614</v>
      </c>
      <c r="V37" s="44">
        <f t="shared" si="7"/>
        <v>1.021372790793259</v>
      </c>
      <c r="W37" s="45">
        <f t="shared" si="19"/>
        <v>1.0000513267977211</v>
      </c>
      <c r="X37" s="45">
        <f t="shared" si="20"/>
        <v>0.92977667727608526</v>
      </c>
      <c r="Y37" s="45">
        <f t="shared" si="21"/>
        <v>1.0106335350552862</v>
      </c>
      <c r="Z37" s="45">
        <f t="shared" si="22"/>
        <v>1.0022847926886631</v>
      </c>
      <c r="AA37" s="45">
        <f t="shared" si="23"/>
        <v>1.0687300200237253</v>
      </c>
      <c r="AB37" s="46">
        <f t="shared" si="24"/>
        <v>1.1446671296755628</v>
      </c>
      <c r="AC37">
        <v>1.0017198625447417</v>
      </c>
      <c r="AD37">
        <v>1.0535516613999651</v>
      </c>
      <c r="AE37">
        <v>0.99155219370303394</v>
      </c>
      <c r="AF37">
        <v>1.1225713378862485</v>
      </c>
      <c r="AG37">
        <v>1.081342032624879</v>
      </c>
      <c r="AH37">
        <v>1.1206138456455628</v>
      </c>
      <c r="AI37">
        <v>0.99453873581744368</v>
      </c>
      <c r="AJ37" s="56">
        <f t="shared" si="8"/>
        <v>1.6685357470205275E-3</v>
      </c>
      <c r="AK37" s="56">
        <f t="shared" si="25"/>
        <v>0.12377498412387988</v>
      </c>
      <c r="AL37" s="56">
        <f t="shared" si="26"/>
        <v>-1.9081341352252257E-2</v>
      </c>
      <c r="AM37" s="56">
        <f t="shared" si="9"/>
        <v>5.3841317862523219E-2</v>
      </c>
      <c r="AN37" s="54">
        <f t="shared" si="10"/>
        <v>7.0708497569592854E-2</v>
      </c>
      <c r="AO37" s="54">
        <f t="shared" si="11"/>
        <v>9.9241054852303723E-2</v>
      </c>
      <c r="AP37" s="55">
        <f t="shared" si="12"/>
        <v>-0.15012839385811916</v>
      </c>
    </row>
    <row r="38" spans="4:42" x14ac:dyDescent="0.2">
      <c r="D38" s="31">
        <v>45200</v>
      </c>
      <c r="F38">
        <f>M38/M37</f>
        <v>0.98256202261913161</v>
      </c>
      <c r="G38">
        <f t="shared" si="5"/>
        <v>1.0500935301082965</v>
      </c>
      <c r="H38" s="30">
        <v>4.9630200000000002</v>
      </c>
      <c r="I38" s="30">
        <v>1.9483999999999999</v>
      </c>
      <c r="J38" s="30">
        <v>24.531300000000002</v>
      </c>
      <c r="K38" s="30">
        <v>4.4443000000000001</v>
      </c>
      <c r="L38" s="30">
        <v>7.4639600000000002</v>
      </c>
      <c r="M38" s="30">
        <v>382.42199699999998</v>
      </c>
      <c r="N38" s="30">
        <v>11.826739999999999</v>
      </c>
      <c r="O38" s="30">
        <f t="shared" si="6"/>
        <v>0.99859557344064398</v>
      </c>
      <c r="P38" s="30">
        <f t="shared" si="13"/>
        <v>1</v>
      </c>
      <c r="Q38" s="30">
        <f t="shared" si="14"/>
        <v>1.0065072806869984</v>
      </c>
      <c r="R38" s="30">
        <f t="shared" si="15"/>
        <v>0.96038983490362173</v>
      </c>
      <c r="S38" s="30">
        <f t="shared" si="16"/>
        <v>1.0008662420382166</v>
      </c>
      <c r="T38" s="30">
        <f t="shared" si="17"/>
        <v>0.98256202261913161</v>
      </c>
      <c r="U38" s="30">
        <f t="shared" si="18"/>
        <v>1.0251050957346299</v>
      </c>
      <c r="V38" s="44">
        <f t="shared" si="7"/>
        <v>1.0199383477188655</v>
      </c>
      <c r="W38" s="45">
        <f t="shared" si="19"/>
        <v>1.0000513267977211</v>
      </c>
      <c r="X38" s="45">
        <f t="shared" si="20"/>
        <v>0.93582699509134548</v>
      </c>
      <c r="Y38" s="45">
        <f t="shared" si="21"/>
        <v>0.97060217387980996</v>
      </c>
      <c r="Z38" s="45">
        <f t="shared" si="22"/>
        <v>1.0031530139103553</v>
      </c>
      <c r="AA38" s="45">
        <f t="shared" si="23"/>
        <v>1.0500935301082965</v>
      </c>
      <c r="AB38" s="46">
        <f t="shared" si="24"/>
        <v>1.1734041075503518</v>
      </c>
      <c r="AC38">
        <v>1.0022593737422523</v>
      </c>
      <c r="AD38">
        <v>1.0545067288715191</v>
      </c>
      <c r="AE38">
        <v>0.99112749539343281</v>
      </c>
      <c r="AF38">
        <v>1.1258838888864025</v>
      </c>
      <c r="AG38">
        <v>1.0833441521263771</v>
      </c>
      <c r="AH38">
        <v>1.1242698922184566</v>
      </c>
      <c r="AI38">
        <v>0.99414497769924293</v>
      </c>
      <c r="AJ38" s="56">
        <f t="shared" si="8"/>
        <v>2.208046944531139E-3</v>
      </c>
      <c r="AK38" s="56">
        <f t="shared" si="25"/>
        <v>0.1186797337801736</v>
      </c>
      <c r="AL38" s="56">
        <f t="shared" si="26"/>
        <v>2.0525321513622852E-2</v>
      </c>
      <c r="AM38" s="56">
        <f t="shared" si="9"/>
        <v>7.5790358778105915E-2</v>
      </c>
      <c r="AN38" s="54">
        <f t="shared" si="10"/>
        <v>0.11274197824656718</v>
      </c>
      <c r="AO38" s="54">
        <f t="shared" si="11"/>
        <v>0.10433154449959114</v>
      </c>
      <c r="AP38" s="55">
        <f t="shared" si="12"/>
        <v>-0.17925912985110892</v>
      </c>
    </row>
    <row r="39" spans="4:42" x14ac:dyDescent="0.2">
      <c r="D39" s="31">
        <v>45231</v>
      </c>
      <c r="F39">
        <f>M39/M38</f>
        <v>0.98740137063820621</v>
      </c>
      <c r="G39">
        <f t="shared" si="5"/>
        <v>1.0368637909272445</v>
      </c>
      <c r="H39" s="30">
        <v>4.9675000000000002</v>
      </c>
      <c r="I39" s="30">
        <v>1.9483999999999999</v>
      </c>
      <c r="J39" s="30">
        <v>24.241800000000001</v>
      </c>
      <c r="K39" s="30">
        <v>4.3388200000000001</v>
      </c>
      <c r="L39" s="30">
        <v>7.4553399999999996</v>
      </c>
      <c r="M39" s="30">
        <v>377.60400399999997</v>
      </c>
      <c r="N39" s="30">
        <v>11.35521</v>
      </c>
      <c r="O39" s="30">
        <f t="shared" si="6"/>
        <v>1.0009026761931243</v>
      </c>
      <c r="P39" s="30">
        <f t="shared" si="13"/>
        <v>1</v>
      </c>
      <c r="Q39" s="30">
        <f t="shared" si="14"/>
        <v>0.98819875016815251</v>
      </c>
      <c r="R39" s="30">
        <f t="shared" si="15"/>
        <v>0.97626622865243118</v>
      </c>
      <c r="S39" s="30">
        <f t="shared" si="16"/>
        <v>0.99884511706922319</v>
      </c>
      <c r="T39" s="30">
        <f t="shared" si="17"/>
        <v>0.98740137063820621</v>
      </c>
      <c r="U39" s="30">
        <f t="shared" si="18"/>
        <v>0.96013017957611313</v>
      </c>
      <c r="V39" s="44">
        <f t="shared" si="7"/>
        <v>1.0208590217838058</v>
      </c>
      <c r="W39" s="45">
        <f t="shared" si="19"/>
        <v>1.0000513267977211</v>
      </c>
      <c r="X39" s="45">
        <f t="shared" si="20"/>
        <v>0.92478306692288537</v>
      </c>
      <c r="Y39" s="45">
        <f t="shared" si="21"/>
        <v>0.94756612381549332</v>
      </c>
      <c r="Z39" s="45">
        <f t="shared" si="22"/>
        <v>1.0019944896176329</v>
      </c>
      <c r="AA39" s="45">
        <f t="shared" si="23"/>
        <v>1.0368637909272445</v>
      </c>
      <c r="AB39" s="46">
        <f t="shared" si="24"/>
        <v>1.1266206964976682</v>
      </c>
      <c r="AC39">
        <v>1.0026215102003775</v>
      </c>
      <c r="AD39">
        <v>1.0554690413323997</v>
      </c>
      <c r="AE39">
        <v>0.99070388276944765</v>
      </c>
      <c r="AF39">
        <v>1.1294007785818534</v>
      </c>
      <c r="AG39">
        <v>1.0852945040181186</v>
      </c>
      <c r="AH39">
        <v>1.1271505168405906</v>
      </c>
      <c r="AI39">
        <v>0.99369596445508157</v>
      </c>
      <c r="AJ39" s="56">
        <f t="shared" si="8"/>
        <v>2.5701834026563564E-3</v>
      </c>
      <c r="AK39" s="56">
        <f t="shared" si="25"/>
        <v>0.13068597440951435</v>
      </c>
      <c r="AL39" s="56">
        <f t="shared" si="26"/>
        <v>4.313775895395433E-2</v>
      </c>
      <c r="AM39" s="56">
        <f t="shared" si="9"/>
        <v>9.2536987654608938E-2</v>
      </c>
      <c r="AN39" s="54">
        <f t="shared" si="10"/>
        <v>0.13772838020262523</v>
      </c>
      <c r="AO39" s="54">
        <f t="shared" si="11"/>
        <v>0.10629149505678481</v>
      </c>
      <c r="AP39" s="55">
        <f t="shared" si="12"/>
        <v>-0.13292473204258659</v>
      </c>
    </row>
    <row r="40" spans="4:42" ht="16" thickBot="1" x14ac:dyDescent="0.25">
      <c r="D40" s="31">
        <v>45261</v>
      </c>
      <c r="F40">
        <f>M40/M39</f>
        <v>1.0135670860100308</v>
      </c>
      <c r="G40">
        <f t="shared" si="5"/>
        <v>1.050931011159441</v>
      </c>
      <c r="H40" s="30">
        <v>4.9709700000000003</v>
      </c>
      <c r="I40" s="30">
        <v>1.9483999999999999</v>
      </c>
      <c r="J40" s="30">
        <v>24.382999000000002</v>
      </c>
      <c r="K40" s="30">
        <v>4.3333000000000004</v>
      </c>
      <c r="L40" s="30">
        <v>7.4549000000000003</v>
      </c>
      <c r="M40" s="30">
        <v>382.72699</v>
      </c>
      <c r="N40" s="30">
        <v>11.2857</v>
      </c>
      <c r="O40" s="30">
        <f t="shared" si="6"/>
        <v>1.0006985405133366</v>
      </c>
      <c r="P40" s="30">
        <f t="shared" si="13"/>
        <v>1</v>
      </c>
      <c r="Q40" s="30">
        <f t="shared" si="14"/>
        <v>1.0058246087336749</v>
      </c>
      <c r="R40" s="30">
        <f t="shared" si="15"/>
        <v>0.99872776469178259</v>
      </c>
      <c r="S40" s="30">
        <f t="shared" si="16"/>
        <v>0.99994098190022196</v>
      </c>
      <c r="T40" s="30">
        <f t="shared" si="17"/>
        <v>1.0135670860100308</v>
      </c>
      <c r="U40" s="30">
        <f t="shared" si="18"/>
        <v>0.99387858084526848</v>
      </c>
      <c r="V40" s="47">
        <f t="shared" si="7"/>
        <v>1.0215721331689269</v>
      </c>
      <c r="W40" s="48">
        <f t="shared" si="19"/>
        <v>1.0000513267977211</v>
      </c>
      <c r="X40" s="48">
        <f t="shared" si="20"/>
        <v>0.93016956645123905</v>
      </c>
      <c r="Y40" s="48">
        <f t="shared" si="21"/>
        <v>0.94636059673590456</v>
      </c>
      <c r="Z40" s="48">
        <f t="shared" si="22"/>
        <v>1.0019353538068676</v>
      </c>
      <c r="AA40" s="48">
        <f t="shared" si="23"/>
        <v>1.050931011159441</v>
      </c>
      <c r="AB40" s="49">
        <f t="shared" si="24"/>
        <v>1.1197241789860104</v>
      </c>
      <c r="AJ40" s="56"/>
      <c r="AK40" s="54"/>
      <c r="AL40" s="54"/>
      <c r="AM40" s="54"/>
      <c r="AN40" s="54"/>
      <c r="AO40" s="54"/>
      <c r="AP40" s="55"/>
    </row>
    <row r="41" spans="4:42" x14ac:dyDescent="0.2">
      <c r="H41" s="30"/>
      <c r="J41" s="37"/>
      <c r="K41" s="30"/>
      <c r="L41" s="30"/>
      <c r="M41" s="37"/>
      <c r="N41" s="30"/>
      <c r="O41" s="30"/>
      <c r="P41" s="30"/>
      <c r="Q41" s="37"/>
      <c r="R41" s="30"/>
      <c r="S41" s="30"/>
      <c r="T41" s="30"/>
      <c r="U41" s="30"/>
      <c r="V41" s="30"/>
      <c r="W41" s="30"/>
      <c r="AJ41" s="56"/>
      <c r="AK41" s="54"/>
      <c r="AL41" s="54"/>
      <c r="AM41" s="54"/>
      <c r="AN41" s="54"/>
      <c r="AO41" s="54"/>
      <c r="AP41" s="55"/>
    </row>
    <row r="42" spans="4:42" ht="16" thickBot="1" x14ac:dyDescent="0.25">
      <c r="O42" s="26"/>
      <c r="AJ42" s="57"/>
      <c r="AK42" s="58"/>
      <c r="AL42" s="58"/>
      <c r="AM42" s="58"/>
      <c r="AN42" s="58"/>
      <c r="AO42" s="58"/>
      <c r="AP42" s="59"/>
    </row>
    <row r="43" spans="4:42" x14ac:dyDescent="0.2">
      <c r="O43" s="26"/>
    </row>
    <row r="44" spans="4:42" x14ac:dyDescent="0.2">
      <c r="O44" s="26"/>
    </row>
    <row r="45" spans="4:42" x14ac:dyDescent="0.2">
      <c r="O45" s="26"/>
    </row>
    <row r="46" spans="4:42" x14ac:dyDescent="0.2">
      <c r="O46" s="26"/>
    </row>
    <row r="47" spans="4:42" x14ac:dyDescent="0.2">
      <c r="O47" s="26"/>
    </row>
    <row r="48" spans="4:42" x14ac:dyDescent="0.2">
      <c r="O48" s="26"/>
    </row>
  </sheetData>
  <autoFilter ref="M4:M40" xr:uid="{CB04519C-2F54-9440-A477-0CFD52FCD47D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Structure</vt:lpstr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Lajos Galambos</cp:lastModifiedBy>
  <dcterms:created xsi:type="dcterms:W3CDTF">2023-12-13T17:36:34Z</dcterms:created>
  <dcterms:modified xsi:type="dcterms:W3CDTF">2023-12-14T03:42:21Z</dcterms:modified>
</cp:coreProperties>
</file>